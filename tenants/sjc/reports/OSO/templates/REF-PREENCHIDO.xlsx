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kaiqu\OneDrive\Área de Trabalho\Stravia Consultoria\01. Projetos\01.14 Goal Bus - API\"/>
    </mc:Choice>
  </mc:AlternateContent>
  <xr:revisionPtr revIDLastSave="0" documentId="13_ncr:1_{A2021235-404C-4682-8402-111BB920D6D5}" xr6:coauthVersionLast="47" xr6:coauthVersionMax="47" xr10:uidLastSave="{00000000-0000-0000-0000-000000000000}"/>
  <bookViews>
    <workbookView xWindow="25230" yWindow="-16605" windowWidth="29040" windowHeight="15720" xr2:uid="{00000000-000D-0000-FFFF-FFFF00000000}"/>
  </bookViews>
  <sheets>
    <sheet name="082-DU" sheetId="1" r:id="rId1"/>
  </sheets>
  <definedNames>
    <definedName name="_xlnm.Print_Area" localSheetId="0">'082-DU'!$A$1:$U$82</definedName>
    <definedName name="_xlnm.Print_Titles" localSheetId="0">'082-DU'!$5:$8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/xpkdwU7vELT7JN1oDfDssUJ03PLOuVNF7irSvM6Rw="/>
    </ext>
  </extLst>
</workbook>
</file>

<file path=xl/calcChain.xml><?xml version="1.0" encoding="utf-8"?>
<calcChain xmlns="http://schemas.openxmlformats.org/spreadsheetml/2006/main">
  <c r="M14" i="1" l="1"/>
  <c r="M10" i="1"/>
  <c r="M38" i="1" l="1"/>
  <c r="M41" i="1"/>
  <c r="M11" i="1"/>
  <c r="M12" i="1"/>
  <c r="M59" i="1"/>
  <c r="M52" i="1"/>
  <c r="M44" i="1"/>
  <c r="M35" i="1"/>
  <c r="M32" i="1"/>
  <c r="M27" i="1"/>
  <c r="M23" i="1"/>
  <c r="M66" i="1"/>
  <c r="M67" i="1"/>
  <c r="M64" i="1"/>
  <c r="M61" i="1"/>
  <c r="M62" i="1"/>
  <c r="M63" i="1"/>
  <c r="M60" i="1"/>
  <c r="M54" i="1"/>
  <c r="M55" i="1"/>
  <c r="M56" i="1"/>
  <c r="M57" i="1"/>
  <c r="M58" i="1"/>
  <c r="M53" i="1"/>
  <c r="M49" i="1"/>
  <c r="M50" i="1"/>
  <c r="M51" i="1"/>
  <c r="M46" i="1"/>
  <c r="M47" i="1"/>
  <c r="M48" i="1"/>
  <c r="M45" i="1"/>
  <c r="M43" i="1"/>
  <c r="M42" i="1"/>
  <c r="M39" i="1"/>
  <c r="M36" i="1"/>
  <c r="M34" i="1"/>
  <c r="M33" i="1"/>
  <c r="M31" i="1"/>
  <c r="M29" i="1"/>
  <c r="M25" i="1"/>
  <c r="M26" i="1"/>
  <c r="M24" i="1"/>
  <c r="M15" i="1"/>
  <c r="M16" i="1"/>
  <c r="M17" i="1"/>
  <c r="M18" i="1"/>
  <c r="M19" i="1"/>
  <c r="M20" i="1"/>
  <c r="M21" i="1"/>
  <c r="M22" i="1"/>
  <c r="M13" i="1"/>
  <c r="M40" i="1"/>
  <c r="M37" i="1"/>
  <c r="M30" i="1"/>
  <c r="M28" i="1"/>
  <c r="F15" i="1"/>
  <c r="F16" i="1"/>
  <c r="F17" i="1"/>
  <c r="F18" i="1"/>
  <c r="F19" i="1"/>
  <c r="F20" i="1"/>
  <c r="F21" i="1"/>
  <c r="F22" i="1"/>
  <c r="F24" i="1"/>
  <c r="F25" i="1"/>
  <c r="F26" i="1"/>
  <c r="F29" i="1"/>
  <c r="F31" i="1"/>
  <c r="F33" i="1"/>
  <c r="F34" i="1"/>
  <c r="F36" i="1"/>
  <c r="F38" i="1"/>
  <c r="F39" i="1"/>
  <c r="F42" i="1"/>
  <c r="F43" i="1"/>
  <c r="F45" i="1"/>
  <c r="F46" i="1"/>
  <c r="F47" i="1"/>
  <c r="F48" i="1"/>
  <c r="F50" i="1"/>
  <c r="F51" i="1"/>
  <c r="F53" i="1"/>
  <c r="F54" i="1"/>
  <c r="F56" i="1"/>
  <c r="F57" i="1"/>
  <c r="F58" i="1"/>
  <c r="F60" i="1"/>
  <c r="F61" i="1"/>
  <c r="F63" i="1"/>
  <c r="F64" i="1"/>
  <c r="F13" i="1"/>
</calcChain>
</file>

<file path=xl/sharedStrings.xml><?xml version="1.0" encoding="utf-8"?>
<sst xmlns="http://schemas.openxmlformats.org/spreadsheetml/2006/main" count="981" uniqueCount="186">
  <si>
    <t>OSO 001</t>
  </si>
  <si>
    <t>TABELA RESUMO OPERAÇÃO DA LINHA</t>
  </si>
  <si>
    <t>Dias Úteis</t>
  </si>
  <si>
    <t>PARTIDAS</t>
  </si>
  <si>
    <t>PLANO DE RECARGA</t>
  </si>
  <si>
    <t>Sentido Bairro (Estação Sul)</t>
  </si>
  <si>
    <t>DESLOCAMENTO RECARGA</t>
  </si>
  <si>
    <t>RECARGA PROGRAMADA</t>
  </si>
  <si>
    <t>Bloco 
(Tabela do Carro)</t>
  </si>
  <si>
    <t>Itinerário</t>
  </si>
  <si>
    <t>Tempo de Percurso</t>
  </si>
  <si>
    <t>Parada Operacional (Layover)</t>
  </si>
  <si>
    <t>Intervalo (Headway)</t>
  </si>
  <si>
    <t>Início</t>
  </si>
  <si>
    <t>Fim</t>
  </si>
  <si>
    <t>SoC (anterior a recarga)</t>
  </si>
  <si>
    <t>Horário Início da Recarga</t>
  </si>
  <si>
    <t>Horário Fim da Recarga</t>
  </si>
  <si>
    <t>SoC (após a recarga)</t>
  </si>
  <si>
    <t>Tempo Total de Recarga</t>
  </si>
  <si>
    <t>1</t>
  </si>
  <si>
    <t>Principal (Sentido Centro)</t>
  </si>
  <si>
    <t>05:00</t>
  </si>
  <si>
    <t>00:45</t>
  </si>
  <si>
    <t>00:00</t>
  </si>
  <si>
    <t>Principal (Sentido Bairro)</t>
  </si>
  <si>
    <t>05:45</t>
  </si>
  <si>
    <t>00:16</t>
  </si>
  <si>
    <t/>
  </si>
  <si>
    <t>4</t>
  </si>
  <si>
    <t>05:30</t>
  </si>
  <si>
    <t>00:30</t>
  </si>
  <si>
    <t>06:15</t>
  </si>
  <si>
    <t>00:09</t>
  </si>
  <si>
    <t>8</t>
  </si>
  <si>
    <t>06:00</t>
  </si>
  <si>
    <t>06:45</t>
  </si>
  <si>
    <t>00:02</t>
  </si>
  <si>
    <t>13</t>
  </si>
  <si>
    <t>06:23</t>
  </si>
  <si>
    <t>00:23</t>
  </si>
  <si>
    <t>07:08</t>
  </si>
  <si>
    <t>06:46</t>
  </si>
  <si>
    <t>07:31</t>
  </si>
  <si>
    <t>07:09</t>
  </si>
  <si>
    <t>07:54</t>
  </si>
  <si>
    <t>07:32</t>
  </si>
  <si>
    <t>08:17</t>
  </si>
  <si>
    <t>00:19</t>
  </si>
  <si>
    <t>07:55</t>
  </si>
  <si>
    <t>08:40</t>
  </si>
  <si>
    <t>08:18</t>
  </si>
  <si>
    <t>09:03</t>
  </si>
  <si>
    <t>00:13</t>
  </si>
  <si>
    <t>08:41</t>
  </si>
  <si>
    <t>S-698 / Pátio Sul</t>
  </si>
  <si>
    <t>09:25</t>
  </si>
  <si>
    <t>00:05</t>
  </si>
  <si>
    <t>09:30</t>
  </si>
  <si>
    <t>62,98</t>
  </si>
  <si>
    <t>10:29</t>
  </si>
  <si>
    <t>100,00</t>
  </si>
  <si>
    <t>00:59</t>
  </si>
  <si>
    <t>09:21</t>
  </si>
  <si>
    <t>00:40</t>
  </si>
  <si>
    <t>09:26</t>
  </si>
  <si>
    <t>10:01</t>
  </si>
  <si>
    <t>10:06</t>
  </si>
  <si>
    <t>10:41</t>
  </si>
  <si>
    <t>10:46</t>
  </si>
  <si>
    <t>02:29</t>
  </si>
  <si>
    <t>11:21</t>
  </si>
  <si>
    <t>10:51</t>
  </si>
  <si>
    <t>10:56</t>
  </si>
  <si>
    <t>51,74</t>
  </si>
  <si>
    <t>12:01</t>
  </si>
  <si>
    <t>92,96</t>
  </si>
  <si>
    <t>01:05</t>
  </si>
  <si>
    <t>12:06</t>
  </si>
  <si>
    <t>Pátio Sul / S-698</t>
  </si>
  <si>
    <t>11:16</t>
  </si>
  <si>
    <t>12:51</t>
  </si>
  <si>
    <t>11:26</t>
  </si>
  <si>
    <t>13:36</t>
  </si>
  <si>
    <t>14:21</t>
  </si>
  <si>
    <t>14:51</t>
  </si>
  <si>
    <t>12:11</t>
  </si>
  <si>
    <t>12:16</t>
  </si>
  <si>
    <t>40,51</t>
  </si>
  <si>
    <t>13:50</t>
  </si>
  <si>
    <t>01:34</t>
  </si>
  <si>
    <t>15:21</t>
  </si>
  <si>
    <t>15:44</t>
  </si>
  <si>
    <t>9</t>
  </si>
  <si>
    <t>16:07</t>
  </si>
  <si>
    <t>14:00</t>
  </si>
  <si>
    <t>14:05</t>
  </si>
  <si>
    <t>15:39</t>
  </si>
  <si>
    <t>16:30</t>
  </si>
  <si>
    <t>00:15</t>
  </si>
  <si>
    <t>16:53</t>
  </si>
  <si>
    <t>14:46</t>
  </si>
  <si>
    <t>17:16</t>
  </si>
  <si>
    <t>15:06</t>
  </si>
  <si>
    <t>01:02</t>
  </si>
  <si>
    <t>17:39</t>
  </si>
  <si>
    <t>15:36</t>
  </si>
  <si>
    <t>18:02</t>
  </si>
  <si>
    <t>18:25</t>
  </si>
  <si>
    <t>16:06</t>
  </si>
  <si>
    <t>19:05</t>
  </si>
  <si>
    <t>16:29</t>
  </si>
  <si>
    <t>19:45</t>
  </si>
  <si>
    <t>16:51</t>
  </si>
  <si>
    <t>16:56</t>
  </si>
  <si>
    <t>59,00</t>
  </si>
  <si>
    <t>18:01</t>
  </si>
  <si>
    <t>20:25</t>
  </si>
  <si>
    <t>16:52</t>
  </si>
  <si>
    <t>21:05</t>
  </si>
  <si>
    <t>17:15</t>
  </si>
  <si>
    <t>21:50</t>
  </si>
  <si>
    <t>17:38</t>
  </si>
  <si>
    <t>22:35</t>
  </si>
  <si>
    <t>23:20</t>
  </si>
  <si>
    <t>Pátio Sul / Garagem Norte</t>
  </si>
  <si>
    <t>00:37</t>
  </si>
  <si>
    <t>24:05</t>
  </si>
  <si>
    <t>18:24</t>
  </si>
  <si>
    <t>18:47</t>
  </si>
  <si>
    <t>19:09</t>
  </si>
  <si>
    <t>19:14</t>
  </si>
  <si>
    <t>77,28</t>
  </si>
  <si>
    <t>19:50</t>
  </si>
  <si>
    <t>00:36</t>
  </si>
  <si>
    <t>19:10</t>
  </si>
  <si>
    <t>20:30</t>
  </si>
  <si>
    <t>00:35</t>
  </si>
  <si>
    <t>21:10</t>
  </si>
  <si>
    <t>21:55</t>
  </si>
  <si>
    <t>22:00</t>
  </si>
  <si>
    <t>32,33</t>
  </si>
  <si>
    <t>23:47</t>
  </si>
  <si>
    <t>01:47</t>
  </si>
  <si>
    <t>24:50</t>
  </si>
  <si>
    <t>00:25</t>
  </si>
  <si>
    <t>34,35</t>
  </si>
  <si>
    <t>01:44</t>
  </si>
  <si>
    <t>24:55</t>
  </si>
  <si>
    <t>LEGENDA</t>
  </si>
  <si>
    <t>S-698 R. Carlos Nunes de Paula, 1101</t>
  </si>
  <si>
    <t>O-093 Av. Maj. Miguel Naked, s/nº</t>
  </si>
  <si>
    <t>ENTRADA</t>
  </si>
  <si>
    <t>FECHAMENTO</t>
  </si>
  <si>
    <t>ESPECIAL</t>
  </si>
  <si>
    <t>RECARGA</t>
  </si>
  <si>
    <t>O-093/ Pátio Sul</t>
  </si>
  <si>
    <t>Garagem Norte / S-698</t>
  </si>
  <si>
    <t>Horário (Fim)</t>
  </si>
  <si>
    <t>Colunas1</t>
  </si>
  <si>
    <t>Colunas2</t>
  </si>
  <si>
    <t>Colunas3</t>
  </si>
  <si>
    <t>Colunas4</t>
  </si>
  <si>
    <t>Colunas5</t>
  </si>
  <si>
    <t>Colunas7</t>
  </si>
  <si>
    <t>Colunas8</t>
  </si>
  <si>
    <t>Colunas9</t>
  </si>
  <si>
    <t>Colunas10</t>
  </si>
  <si>
    <t>Colunas11</t>
  </si>
  <si>
    <t>Colunas12</t>
  </si>
  <si>
    <t>Colunas14</t>
  </si>
  <si>
    <t>Colunas15</t>
  </si>
  <si>
    <t>Colunas16</t>
  </si>
  <si>
    <t>Colunas17</t>
  </si>
  <si>
    <t>Colunas18</t>
  </si>
  <si>
    <t>Colunas19</t>
  </si>
  <si>
    <t>Colunas20</t>
  </si>
  <si>
    <t>Colunas21</t>
  </si>
  <si>
    <t>-</t>
  </si>
  <si>
    <t>Horário
(Início)</t>
  </si>
  <si>
    <t>Colunas62</t>
  </si>
  <si>
    <t>Colunas132</t>
  </si>
  <si>
    <t>Colunas6</t>
  </si>
  <si>
    <t>NOTA: O bloco 9 faz composição com a linha 117.</t>
  </si>
  <si>
    <t>082 - ESTAÇÃO SUL / JARDIM DAS COLINAS (CIRCULAR NO JARDIM DAS COLINAS)</t>
  </si>
  <si>
    <t>Sentido Centro (Jd. das Colinas)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</si>
</sst>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name val="Arial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  <font>
      <sz val="10"/>
      <color rgb="FF000000"/>
      <name val="Arial"/>
      <family val="2"/>
      <scheme val="minor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b/>
      <sz val="12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08080"/>
        <bgColor rgb="FF80808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9FC5E8"/>
        <bgColor rgb="FF9FC5E8"/>
      </patternFill>
    </fill>
    <fill>
      <patternFill patternType="solid">
        <fgColor theme="6" tint="0.39997558519241921"/>
        <bgColor rgb="FF93C47D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rgb="FF9FC5E8"/>
      </patternFill>
    </fill>
    <fill>
      <patternFill patternType="solid">
        <fgColor theme="9" tint="0.39997558519241921"/>
        <bgColor rgb="FFFF9900"/>
      </patternFill>
    </fill>
    <fill>
      <patternFill patternType="solid">
        <fgColor rgb="FFFFFF66"/>
        <bgColor rgb="FFFFE599"/>
      </patternFill>
    </fill>
    <fill>
      <patternFill patternType="solid">
        <fgColor theme="7" tint="0.59999389629810485"/>
        <bgColor rgb="FFB4A7D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43"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horizontal="center" vertical="center"/>
    </xf>
    <xf numFmtId="20" fontId="9" fillId="8" borderId="1" xfId="0" applyNumberFormat="1" applyFont="1" applyFill="1" applyBorder="1" applyAlignment="1">
      <alignment horizontal="center" vertical="center"/>
    </xf>
    <xf numFmtId="20" fontId="9" fillId="11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20" fontId="9" fillId="10" borderId="1" xfId="0" applyNumberFormat="1" applyFont="1" applyFill="1" applyBorder="1" applyAlignment="1">
      <alignment horizontal="center" vertical="center"/>
    </xf>
    <xf numFmtId="0" fontId="9" fillId="8" borderId="1" xfId="1" applyNumberFormat="1" applyFont="1" applyFill="1" applyBorder="1" applyAlignment="1">
      <alignment horizontal="center" vertical="center"/>
    </xf>
    <xf numFmtId="20" fontId="7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20" fontId="9" fillId="0" borderId="1" xfId="0" applyNumberFormat="1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/>
    </xf>
    <xf numFmtId="0" fontId="14" fillId="0" borderId="1" xfId="0" applyFont="1" applyBorder="1"/>
    <xf numFmtId="1" fontId="9" fillId="8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20" fontId="7" fillId="2" borderId="1" xfId="0" applyNumberFormat="1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left" vertical="center"/>
    </xf>
    <xf numFmtId="20" fontId="11" fillId="11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1" fillId="13" borderId="1" xfId="0" applyFont="1" applyFill="1" applyBorder="1" applyAlignment="1">
      <alignment horizontal="center" vertical="center"/>
    </xf>
    <xf numFmtId="0" fontId="13" fillId="14" borderId="1" xfId="0" applyFont="1" applyFill="1" applyBorder="1"/>
    <xf numFmtId="20" fontId="11" fillId="8" borderId="1" xfId="0" applyNumberFormat="1" applyFont="1" applyFill="1" applyBorder="1" applyAlignment="1">
      <alignment horizontal="center" vertical="center"/>
    </xf>
    <xf numFmtId="0" fontId="13" fillId="9" borderId="1" xfId="0" applyFont="1" applyFill="1" applyBorder="1"/>
    <xf numFmtId="20" fontId="11" fillId="7" borderId="1" xfId="0" applyNumberFormat="1" applyFont="1" applyFill="1" applyBorder="1" applyAlignment="1">
      <alignment horizontal="center" vertical="center"/>
    </xf>
    <xf numFmtId="20" fontId="11" fillId="12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25" formatCode="hh: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25" formatCode="hh: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25" formatCode="hh: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775221</xdr:colOff>
      <xdr:row>0</xdr:row>
      <xdr:rowOff>10583</xdr:rowOff>
    </xdr:from>
    <xdr:to>
      <xdr:col>20</xdr:col>
      <xdr:colOff>860946</xdr:colOff>
      <xdr:row>2</xdr:row>
      <xdr:rowOff>210170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05846" y="10583"/>
          <a:ext cx="3752850" cy="6996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9:V67" totalsRowShown="0" headerRowDxfId="16" dataDxfId="15">
  <autoFilter ref="A9:V67" xr:uid="{00000000-0009-0000-0100-000001000000}"/>
  <tableColumns count="22">
    <tableColumn id="1" xr3:uid="{00000000-0010-0000-0000-000001000000}" name="Colunas1" dataDxfId="14"/>
    <tableColumn id="2" xr3:uid="{00000000-0010-0000-0000-000002000000}" name="Colunas2" dataDxfId="13"/>
    <tableColumn id="3" xr3:uid="{00000000-0010-0000-0000-000003000000}" name="Colunas3" dataDxfId="12"/>
    <tableColumn id="4" xr3:uid="{00000000-0010-0000-0000-000004000000}" name="Colunas4" dataDxfId="11"/>
    <tableColumn id="5" xr3:uid="{00000000-0010-0000-0000-000005000000}" name="Colunas5" dataDxfId="10"/>
    <tableColumn id="7" xr3:uid="{00000000-0010-0000-0000-000007000000}" name="Colunas7" dataDxfId="9"/>
    <tableColumn id="22" xr3:uid="{00000000-0010-0000-0000-000016000000}" name="Colunas62" dataDxfId="8"/>
    <tableColumn id="8" xr3:uid="{00000000-0010-0000-0000-000008000000}" name="Colunas8"/>
    <tableColumn id="9" xr3:uid="{00000000-0010-0000-0000-000009000000}" name="Colunas9"/>
    <tableColumn id="10" xr3:uid="{00000000-0010-0000-0000-00000A000000}" name="Colunas10"/>
    <tableColumn id="11" xr3:uid="{00000000-0010-0000-0000-00000B000000}" name="Colunas11"/>
    <tableColumn id="12" xr3:uid="{00000000-0010-0000-0000-00000C000000}" name="Colunas12"/>
    <tableColumn id="14" xr3:uid="{00000000-0010-0000-0000-00000E000000}" name="Colunas14">
      <calculatedColumnFormula>J10+K10+L10</calculatedColumnFormula>
    </tableColumn>
    <tableColumn id="23" xr3:uid="{00000000-0010-0000-0000-000017000000}" name="Colunas132"/>
    <tableColumn id="15" xr3:uid="{00000000-0010-0000-0000-00000F000000}" name="Colunas15" dataDxfId="7"/>
    <tableColumn id="16" xr3:uid="{00000000-0010-0000-0000-000010000000}" name="Colunas16" dataDxfId="6"/>
    <tableColumn id="17" xr3:uid="{00000000-0010-0000-0000-000011000000}" name="Colunas17" dataDxfId="5"/>
    <tableColumn id="18" xr3:uid="{00000000-0010-0000-0000-000012000000}" name="Colunas18" dataDxfId="4"/>
    <tableColumn id="19" xr3:uid="{00000000-0010-0000-0000-000013000000}" name="Colunas19" dataDxfId="3"/>
    <tableColumn id="20" xr3:uid="{00000000-0010-0000-0000-000014000000}" name="Colunas20" dataDxfId="2"/>
    <tableColumn id="21" xr3:uid="{00000000-0010-0000-0000-000015000000}" name="Colunas21" dataDxfId="1"/>
    <tableColumn id="6" xr3:uid="{00000000-0010-0000-0000-000006000000}" name="Colunas6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83"/>
  <sheetViews>
    <sheetView tabSelected="1" zoomScale="80" zoomScaleNormal="80" zoomScaleSheetLayoutView="80" workbookViewId="0">
      <selection sqref="A1:U2"/>
    </sheetView>
  </sheetViews>
  <sheetFormatPr defaultColWidth="12.5703125" defaultRowHeight="15" customHeight="1" x14ac:dyDescent="0.2"/>
  <cols>
    <col min="1" max="1" width="12.7109375" style="13" customWidth="1"/>
    <col min="2" max="2" width="30.7109375" style="13" customWidth="1"/>
    <col min="3" max="8" width="12.7109375" style="13" customWidth="1"/>
    <col min="9" max="9" width="30.7109375" style="13" customWidth="1"/>
    <col min="10" max="21" width="13.7109375" style="13" customWidth="1"/>
    <col min="22" max="22" width="20" style="13" customWidth="1"/>
    <col min="23" max="41" width="9.140625" style="13" customWidth="1"/>
    <col min="42" max="16384" width="12.5703125" style="13"/>
  </cols>
  <sheetData>
    <row r="1" spans="1:41" ht="19.5" customHeight="1" x14ac:dyDescent="0.2">
      <c r="A1" s="39" t="s">
        <v>184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spans="1:41" ht="19.5" customHeight="1" x14ac:dyDescent="0.2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 ht="19.5" customHeight="1" x14ac:dyDescent="0.2">
      <c r="A3" s="39" t="s">
        <v>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ht="19.5" customHeight="1" x14ac:dyDescent="0.2">
      <c r="A4" s="40" t="s">
        <v>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ht="19.5" customHeight="1" x14ac:dyDescent="0.2">
      <c r="A5" s="41" t="s">
        <v>2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ht="19.5" customHeight="1" x14ac:dyDescent="0.2">
      <c r="A6" s="34" t="s">
        <v>3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21"/>
      <c r="O6" s="35" t="s">
        <v>4</v>
      </c>
      <c r="P6" s="36"/>
      <c r="Q6" s="36"/>
      <c r="R6" s="36"/>
      <c r="S6" s="36"/>
      <c r="T6" s="36"/>
      <c r="U6" s="36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ht="19.5" customHeight="1" x14ac:dyDescent="0.2">
      <c r="A7" s="34" t="s">
        <v>185</v>
      </c>
      <c r="B7" s="34"/>
      <c r="C7" s="34"/>
      <c r="D7" s="34"/>
      <c r="E7" s="34"/>
      <c r="F7" s="34"/>
      <c r="G7" s="21"/>
      <c r="H7" s="34" t="s">
        <v>5</v>
      </c>
      <c r="I7" s="34"/>
      <c r="J7" s="34"/>
      <c r="K7" s="34"/>
      <c r="L7" s="34"/>
      <c r="M7" s="34"/>
      <c r="N7" s="21"/>
      <c r="O7" s="35" t="s">
        <v>6</v>
      </c>
      <c r="P7" s="36"/>
      <c r="Q7" s="36"/>
      <c r="R7" s="35" t="s">
        <v>7</v>
      </c>
      <c r="S7" s="36"/>
      <c r="T7" s="36"/>
      <c r="U7" s="36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ht="60" customHeight="1" x14ac:dyDescent="0.2">
      <c r="A8" s="1" t="s">
        <v>8</v>
      </c>
      <c r="B8" s="1" t="s">
        <v>9</v>
      </c>
      <c r="C8" s="17" t="s">
        <v>179</v>
      </c>
      <c r="D8" s="1" t="s">
        <v>10</v>
      </c>
      <c r="E8" s="1" t="s">
        <v>11</v>
      </c>
      <c r="F8" s="17" t="s">
        <v>158</v>
      </c>
      <c r="G8" s="1" t="s">
        <v>12</v>
      </c>
      <c r="H8" s="1" t="s">
        <v>8</v>
      </c>
      <c r="I8" s="1" t="s">
        <v>9</v>
      </c>
      <c r="J8" s="17" t="s">
        <v>179</v>
      </c>
      <c r="K8" s="1" t="s">
        <v>10</v>
      </c>
      <c r="L8" s="1" t="s">
        <v>11</v>
      </c>
      <c r="M8" s="17" t="s">
        <v>158</v>
      </c>
      <c r="N8" s="1" t="s">
        <v>12</v>
      </c>
      <c r="O8" s="4" t="s">
        <v>13</v>
      </c>
      <c r="P8" s="4" t="s">
        <v>14</v>
      </c>
      <c r="Q8" s="4" t="s">
        <v>15</v>
      </c>
      <c r="R8" s="4" t="s">
        <v>16</v>
      </c>
      <c r="S8" s="4" t="s">
        <v>17</v>
      </c>
      <c r="T8" s="4" t="s">
        <v>18</v>
      </c>
      <c r="U8" s="4" t="s">
        <v>19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19.5" hidden="1" customHeight="1" x14ac:dyDescent="0.2">
      <c r="A9" s="2" t="s">
        <v>159</v>
      </c>
      <c r="B9" s="2" t="s">
        <v>160</v>
      </c>
      <c r="C9" s="2" t="s">
        <v>161</v>
      </c>
      <c r="D9" s="2" t="s">
        <v>162</v>
      </c>
      <c r="E9" s="2" t="s">
        <v>163</v>
      </c>
      <c r="F9" s="12" t="s">
        <v>164</v>
      </c>
      <c r="G9" s="2" t="s">
        <v>180</v>
      </c>
      <c r="H9" s="11" t="s">
        <v>165</v>
      </c>
      <c r="I9" s="7" t="s">
        <v>166</v>
      </c>
      <c r="J9" s="7" t="s">
        <v>167</v>
      </c>
      <c r="K9" s="7" t="s">
        <v>168</v>
      </c>
      <c r="L9" s="7" t="s">
        <v>169</v>
      </c>
      <c r="M9" s="7" t="s">
        <v>170</v>
      </c>
      <c r="N9" s="7" t="s">
        <v>181</v>
      </c>
      <c r="O9" s="2" t="s">
        <v>171</v>
      </c>
      <c r="P9" s="2" t="s">
        <v>172</v>
      </c>
      <c r="Q9" s="2" t="s">
        <v>173</v>
      </c>
      <c r="R9" s="2" t="s">
        <v>174</v>
      </c>
      <c r="S9" s="2" t="s">
        <v>175</v>
      </c>
      <c r="T9" s="2" t="s">
        <v>176</v>
      </c>
      <c r="U9" s="2" t="s">
        <v>177</v>
      </c>
      <c r="V9" s="22" t="s">
        <v>182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ht="19.5" customHeight="1" x14ac:dyDescent="0.2">
      <c r="A10" s="2"/>
      <c r="B10" s="2"/>
      <c r="C10" s="2"/>
      <c r="D10" s="2"/>
      <c r="E10" s="2"/>
      <c r="F10" s="12"/>
      <c r="G10" s="2"/>
      <c r="H10" s="11">
        <v>1</v>
      </c>
      <c r="I10" s="7" t="s">
        <v>157</v>
      </c>
      <c r="J10" s="7">
        <v>0.18402777777777779</v>
      </c>
      <c r="K10" s="7">
        <v>2.4305555555555556E-2</v>
      </c>
      <c r="L10" s="7">
        <v>0</v>
      </c>
      <c r="M10" s="7">
        <f>J10+K10</f>
        <v>0.20833333333333334</v>
      </c>
      <c r="N10" s="7"/>
      <c r="O10" s="2"/>
      <c r="P10" s="2"/>
      <c r="Q10" s="2"/>
      <c r="R10" s="2"/>
      <c r="S10" s="2"/>
      <c r="T10" s="2"/>
      <c r="U10" s="2"/>
      <c r="V10" s="23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ht="19.5" customHeight="1" x14ac:dyDescent="0.2">
      <c r="A11" s="2"/>
      <c r="B11" s="2"/>
      <c r="C11" s="2"/>
      <c r="D11" s="2"/>
      <c r="E11" s="2"/>
      <c r="F11" s="12"/>
      <c r="G11" s="2"/>
      <c r="H11" s="11">
        <v>4</v>
      </c>
      <c r="I11" s="7" t="s">
        <v>157</v>
      </c>
      <c r="J11" s="7">
        <v>0.20486111111111113</v>
      </c>
      <c r="K11" s="7">
        <v>2.4305555555555556E-2</v>
      </c>
      <c r="L11" s="7">
        <v>0</v>
      </c>
      <c r="M11" s="7">
        <f t="shared" ref="M11:M12" si="0">J11+K11</f>
        <v>0.22916666666666669</v>
      </c>
      <c r="N11" s="7"/>
      <c r="O11" s="2"/>
      <c r="P11" s="2"/>
      <c r="Q11" s="2"/>
      <c r="R11" s="2"/>
      <c r="S11" s="2"/>
      <c r="T11" s="2"/>
      <c r="U11" s="2"/>
      <c r="V11" s="23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ht="19.5" customHeight="1" x14ac:dyDescent="0.2">
      <c r="A12" s="2"/>
      <c r="B12" s="2"/>
      <c r="C12" s="2"/>
      <c r="D12" s="2"/>
      <c r="E12" s="2"/>
      <c r="F12" s="12"/>
      <c r="G12" s="2"/>
      <c r="H12" s="11">
        <v>8</v>
      </c>
      <c r="I12" s="7" t="s">
        <v>157</v>
      </c>
      <c r="J12" s="7">
        <v>0.22569444444444445</v>
      </c>
      <c r="K12" s="7">
        <v>2.4305555555555601E-2</v>
      </c>
      <c r="L12" s="7">
        <v>0</v>
      </c>
      <c r="M12" s="7">
        <f t="shared" si="0"/>
        <v>0.25000000000000006</v>
      </c>
      <c r="N12" s="7"/>
      <c r="O12" s="2"/>
      <c r="P12" s="2"/>
      <c r="Q12" s="2"/>
      <c r="R12" s="2"/>
      <c r="S12" s="2"/>
      <c r="T12" s="2"/>
      <c r="U12" s="2"/>
      <c r="V12" s="23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ht="19.5" customHeight="1" x14ac:dyDescent="0.2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12">
        <f t="shared" ref="F13:F22" si="1">C13+D13+E13</f>
        <v>0.23958333333333334</v>
      </c>
      <c r="G13" s="16" t="s">
        <v>178</v>
      </c>
      <c r="H13" s="2" t="s">
        <v>20</v>
      </c>
      <c r="I13" s="2" t="s">
        <v>25</v>
      </c>
      <c r="J13" s="2" t="s">
        <v>26</v>
      </c>
      <c r="K13" s="2" t="s">
        <v>23</v>
      </c>
      <c r="L13" s="2" t="s">
        <v>27</v>
      </c>
      <c r="M13" s="12">
        <f>J13+K13+L13</f>
        <v>0.2819444444444445</v>
      </c>
      <c r="N13" s="2" t="s">
        <v>178</v>
      </c>
      <c r="O13" s="2" t="s">
        <v>28</v>
      </c>
      <c r="P13" s="2" t="s">
        <v>28</v>
      </c>
      <c r="Q13" s="2" t="s">
        <v>28</v>
      </c>
      <c r="R13" s="2" t="s">
        <v>28</v>
      </c>
      <c r="S13" s="2" t="s">
        <v>28</v>
      </c>
      <c r="T13" s="2" t="s">
        <v>28</v>
      </c>
      <c r="U13" s="2" t="s">
        <v>28</v>
      </c>
      <c r="V13" s="23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19.5" customHeight="1" x14ac:dyDescent="0.2">
      <c r="A14" s="2"/>
      <c r="B14" s="2"/>
      <c r="C14" s="2"/>
      <c r="D14" s="2"/>
      <c r="E14" s="2"/>
      <c r="F14" s="12"/>
      <c r="G14" s="12"/>
      <c r="H14" s="11">
        <v>13</v>
      </c>
      <c r="I14" s="7" t="s">
        <v>157</v>
      </c>
      <c r="J14" s="7">
        <v>0.24166666666666667</v>
      </c>
      <c r="K14" s="7">
        <v>2.4305555555555601E-2</v>
      </c>
      <c r="L14" s="7">
        <v>0</v>
      </c>
      <c r="M14" s="7">
        <f t="shared" ref="M14" si="2">J14+K14</f>
        <v>0.26597222222222228</v>
      </c>
      <c r="N14" s="7"/>
      <c r="O14" s="2"/>
      <c r="P14" s="2"/>
      <c r="Q14" s="2"/>
      <c r="R14" s="2"/>
      <c r="S14" s="2"/>
      <c r="T14" s="2"/>
      <c r="U14" s="2"/>
      <c r="V14" s="23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19.5" customHeight="1" x14ac:dyDescent="0.2">
      <c r="A15" s="2" t="s">
        <v>29</v>
      </c>
      <c r="B15" s="2" t="s">
        <v>21</v>
      </c>
      <c r="C15" s="2" t="s">
        <v>30</v>
      </c>
      <c r="D15" s="2" t="s">
        <v>23</v>
      </c>
      <c r="E15" s="2" t="s">
        <v>24</v>
      </c>
      <c r="F15" s="12">
        <f t="shared" si="1"/>
        <v>0.26041666666666663</v>
      </c>
      <c r="G15" s="12">
        <v>2.0833333333333332E-2</v>
      </c>
      <c r="H15" s="2" t="s">
        <v>29</v>
      </c>
      <c r="I15" s="2" t="s">
        <v>25</v>
      </c>
      <c r="J15" s="2" t="s">
        <v>32</v>
      </c>
      <c r="K15" s="2" t="s">
        <v>23</v>
      </c>
      <c r="L15" s="2" t="s">
        <v>33</v>
      </c>
      <c r="M15" s="12">
        <f t="shared" ref="M15:M27" si="3">J15+K15+L15</f>
        <v>0.29791666666666666</v>
      </c>
      <c r="N15" s="12">
        <v>2.0833333333333332E-2</v>
      </c>
      <c r="O15" s="2" t="s">
        <v>28</v>
      </c>
      <c r="P15" s="2" t="s">
        <v>28</v>
      </c>
      <c r="Q15" s="2" t="s">
        <v>28</v>
      </c>
      <c r="R15" s="2" t="s">
        <v>28</v>
      </c>
      <c r="S15" s="2" t="s">
        <v>28</v>
      </c>
      <c r="T15" s="2" t="s">
        <v>28</v>
      </c>
      <c r="U15" s="2" t="s">
        <v>28</v>
      </c>
      <c r="V15" s="23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ht="19.5" customHeight="1" x14ac:dyDescent="0.2">
      <c r="A16" s="2" t="s">
        <v>34</v>
      </c>
      <c r="B16" s="2" t="s">
        <v>21</v>
      </c>
      <c r="C16" s="2" t="s">
        <v>35</v>
      </c>
      <c r="D16" s="2" t="s">
        <v>23</v>
      </c>
      <c r="E16" s="2" t="s">
        <v>24</v>
      </c>
      <c r="F16" s="12">
        <f t="shared" si="1"/>
        <v>0.28125</v>
      </c>
      <c r="G16" s="2" t="s">
        <v>31</v>
      </c>
      <c r="H16" s="2" t="s">
        <v>34</v>
      </c>
      <c r="I16" s="2" t="s">
        <v>25</v>
      </c>
      <c r="J16" s="2" t="s">
        <v>36</v>
      </c>
      <c r="K16" s="2" t="s">
        <v>23</v>
      </c>
      <c r="L16" s="2" t="s">
        <v>37</v>
      </c>
      <c r="M16" s="12">
        <f t="shared" si="3"/>
        <v>0.31388888888888888</v>
      </c>
      <c r="N16" s="2" t="s">
        <v>31</v>
      </c>
      <c r="O16" s="2" t="s">
        <v>28</v>
      </c>
      <c r="P16" s="2" t="s">
        <v>28</v>
      </c>
      <c r="Q16" s="2" t="s">
        <v>28</v>
      </c>
      <c r="R16" s="2" t="s">
        <v>28</v>
      </c>
      <c r="S16" s="2" t="s">
        <v>28</v>
      </c>
      <c r="T16" s="2" t="s">
        <v>28</v>
      </c>
      <c r="U16" s="2" t="s">
        <v>28</v>
      </c>
      <c r="V16" s="23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19.5" customHeight="1" x14ac:dyDescent="0.2">
      <c r="A17" s="2" t="s">
        <v>38</v>
      </c>
      <c r="B17" s="2" t="s">
        <v>21</v>
      </c>
      <c r="C17" s="2" t="s">
        <v>39</v>
      </c>
      <c r="D17" s="2" t="s">
        <v>23</v>
      </c>
      <c r="E17" s="2" t="s">
        <v>24</v>
      </c>
      <c r="F17" s="12">
        <f t="shared" si="1"/>
        <v>0.29722222222222222</v>
      </c>
      <c r="G17" s="2" t="s">
        <v>40</v>
      </c>
      <c r="H17" s="2" t="s">
        <v>38</v>
      </c>
      <c r="I17" s="2" t="s">
        <v>25</v>
      </c>
      <c r="J17" s="2" t="s">
        <v>41</v>
      </c>
      <c r="K17" s="2" t="s">
        <v>23</v>
      </c>
      <c r="L17" s="2" t="s">
        <v>37</v>
      </c>
      <c r="M17" s="12">
        <f t="shared" si="3"/>
        <v>0.3298611111111111</v>
      </c>
      <c r="N17" s="2" t="s">
        <v>40</v>
      </c>
      <c r="O17" s="2" t="s">
        <v>28</v>
      </c>
      <c r="P17" s="2" t="s">
        <v>28</v>
      </c>
      <c r="Q17" s="2" t="s">
        <v>28</v>
      </c>
      <c r="R17" s="2" t="s">
        <v>28</v>
      </c>
      <c r="S17" s="2" t="s">
        <v>28</v>
      </c>
      <c r="T17" s="2" t="s">
        <v>28</v>
      </c>
      <c r="U17" s="2" t="s">
        <v>28</v>
      </c>
      <c r="V17" s="23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19.5" customHeight="1" x14ac:dyDescent="0.2">
      <c r="A18" s="2" t="s">
        <v>20</v>
      </c>
      <c r="B18" s="2" t="s">
        <v>21</v>
      </c>
      <c r="C18" s="2" t="s">
        <v>42</v>
      </c>
      <c r="D18" s="2" t="s">
        <v>23</v>
      </c>
      <c r="E18" s="2" t="s">
        <v>24</v>
      </c>
      <c r="F18" s="12">
        <f t="shared" si="1"/>
        <v>0.31319444444444444</v>
      </c>
      <c r="G18" s="2" t="s">
        <v>40</v>
      </c>
      <c r="H18" s="2" t="s">
        <v>20</v>
      </c>
      <c r="I18" s="2" t="s">
        <v>25</v>
      </c>
      <c r="J18" s="2" t="s">
        <v>43</v>
      </c>
      <c r="K18" s="2" t="s">
        <v>23</v>
      </c>
      <c r="L18" s="2" t="s">
        <v>37</v>
      </c>
      <c r="M18" s="12">
        <f t="shared" si="3"/>
        <v>0.34583333333333333</v>
      </c>
      <c r="N18" s="2" t="s">
        <v>40</v>
      </c>
      <c r="O18" s="2" t="s">
        <v>28</v>
      </c>
      <c r="P18" s="2" t="s">
        <v>28</v>
      </c>
      <c r="Q18" s="2" t="s">
        <v>28</v>
      </c>
      <c r="R18" s="2" t="s">
        <v>28</v>
      </c>
      <c r="S18" s="2" t="s">
        <v>28</v>
      </c>
      <c r="T18" s="2" t="s">
        <v>28</v>
      </c>
      <c r="U18" s="2" t="s">
        <v>28</v>
      </c>
      <c r="V18" s="23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ht="19.5" customHeight="1" x14ac:dyDescent="0.2">
      <c r="A19" s="2" t="s">
        <v>29</v>
      </c>
      <c r="B19" s="2" t="s">
        <v>21</v>
      </c>
      <c r="C19" s="2" t="s">
        <v>44</v>
      </c>
      <c r="D19" s="2" t="s">
        <v>23</v>
      </c>
      <c r="E19" s="2" t="s">
        <v>24</v>
      </c>
      <c r="F19" s="12">
        <f t="shared" si="1"/>
        <v>0.32916666666666666</v>
      </c>
      <c r="G19" s="2" t="s">
        <v>40</v>
      </c>
      <c r="H19" s="2" t="s">
        <v>29</v>
      </c>
      <c r="I19" s="2" t="s">
        <v>25</v>
      </c>
      <c r="J19" s="2" t="s">
        <v>45</v>
      </c>
      <c r="K19" s="2" t="s">
        <v>23</v>
      </c>
      <c r="L19" s="2" t="s">
        <v>37</v>
      </c>
      <c r="M19" s="12">
        <f t="shared" si="3"/>
        <v>0.36180555555555555</v>
      </c>
      <c r="N19" s="2" t="s">
        <v>40</v>
      </c>
      <c r="O19" s="2" t="s">
        <v>28</v>
      </c>
      <c r="P19" s="2" t="s">
        <v>28</v>
      </c>
      <c r="Q19" s="2" t="s">
        <v>28</v>
      </c>
      <c r="R19" s="2" t="s">
        <v>28</v>
      </c>
      <c r="S19" s="2" t="s">
        <v>28</v>
      </c>
      <c r="T19" s="2" t="s">
        <v>28</v>
      </c>
      <c r="U19" s="2" t="s">
        <v>28</v>
      </c>
      <c r="V19" s="23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ht="19.5" customHeight="1" x14ac:dyDescent="0.2">
      <c r="A20" s="2" t="s">
        <v>34</v>
      </c>
      <c r="B20" s="2" t="s">
        <v>21</v>
      </c>
      <c r="C20" s="2" t="s">
        <v>46</v>
      </c>
      <c r="D20" s="2" t="s">
        <v>23</v>
      </c>
      <c r="E20" s="2" t="s">
        <v>24</v>
      </c>
      <c r="F20" s="12">
        <f t="shared" si="1"/>
        <v>0.34513888888888888</v>
      </c>
      <c r="G20" s="2" t="s">
        <v>40</v>
      </c>
      <c r="H20" s="2" t="s">
        <v>34</v>
      </c>
      <c r="I20" s="2" t="s">
        <v>25</v>
      </c>
      <c r="J20" s="2" t="s">
        <v>47</v>
      </c>
      <c r="K20" s="2" t="s">
        <v>23</v>
      </c>
      <c r="L20" s="2" t="s">
        <v>48</v>
      </c>
      <c r="M20" s="12">
        <f t="shared" si="3"/>
        <v>0.38958333333333334</v>
      </c>
      <c r="N20" s="2" t="s">
        <v>40</v>
      </c>
      <c r="O20" s="2" t="s">
        <v>28</v>
      </c>
      <c r="P20" s="2" t="s">
        <v>28</v>
      </c>
      <c r="Q20" s="2" t="s">
        <v>28</v>
      </c>
      <c r="R20" s="2" t="s">
        <v>28</v>
      </c>
      <c r="S20" s="2" t="s">
        <v>28</v>
      </c>
      <c r="T20" s="2" t="s">
        <v>28</v>
      </c>
      <c r="U20" s="2" t="s">
        <v>28</v>
      </c>
      <c r="V20" s="23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ht="19.5" customHeight="1" x14ac:dyDescent="0.2">
      <c r="A21" s="2" t="s">
        <v>38</v>
      </c>
      <c r="B21" s="2" t="s">
        <v>21</v>
      </c>
      <c r="C21" s="2" t="s">
        <v>49</v>
      </c>
      <c r="D21" s="2" t="s">
        <v>23</v>
      </c>
      <c r="E21" s="2" t="s">
        <v>24</v>
      </c>
      <c r="F21" s="12">
        <f t="shared" si="1"/>
        <v>0.3611111111111111</v>
      </c>
      <c r="G21" s="2" t="s">
        <v>40</v>
      </c>
      <c r="H21" s="2" t="s">
        <v>38</v>
      </c>
      <c r="I21" s="2" t="s">
        <v>25</v>
      </c>
      <c r="J21" s="2" t="s">
        <v>50</v>
      </c>
      <c r="K21" s="2" t="s">
        <v>23</v>
      </c>
      <c r="L21" s="2" t="s">
        <v>24</v>
      </c>
      <c r="M21" s="12">
        <f t="shared" si="3"/>
        <v>0.3923611111111111</v>
      </c>
      <c r="N21" s="2" t="s">
        <v>40</v>
      </c>
      <c r="O21" s="2" t="s">
        <v>28</v>
      </c>
      <c r="P21" s="2" t="s">
        <v>28</v>
      </c>
      <c r="Q21" s="2" t="s">
        <v>28</v>
      </c>
      <c r="R21" s="2" t="s">
        <v>28</v>
      </c>
      <c r="S21" s="2" t="s">
        <v>28</v>
      </c>
      <c r="T21" s="2" t="s">
        <v>28</v>
      </c>
      <c r="U21" s="2" t="s">
        <v>28</v>
      </c>
      <c r="V21" s="23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ht="19.5" customHeight="1" x14ac:dyDescent="0.2">
      <c r="A22" s="2" t="s">
        <v>20</v>
      </c>
      <c r="B22" s="2" t="s">
        <v>21</v>
      </c>
      <c r="C22" s="2" t="s">
        <v>51</v>
      </c>
      <c r="D22" s="2" t="s">
        <v>23</v>
      </c>
      <c r="E22" s="2" t="s">
        <v>24</v>
      </c>
      <c r="F22" s="12">
        <f t="shared" si="1"/>
        <v>0.37708333333333333</v>
      </c>
      <c r="G22" s="2" t="s">
        <v>40</v>
      </c>
      <c r="H22" s="2" t="s">
        <v>20</v>
      </c>
      <c r="I22" s="2" t="s">
        <v>25</v>
      </c>
      <c r="J22" s="2" t="s">
        <v>52</v>
      </c>
      <c r="K22" s="2" t="s">
        <v>23</v>
      </c>
      <c r="L22" s="2" t="s">
        <v>53</v>
      </c>
      <c r="M22" s="12">
        <f t="shared" si="3"/>
        <v>0.41736111111111113</v>
      </c>
      <c r="N22" s="2" t="s">
        <v>40</v>
      </c>
      <c r="O22" s="2" t="s">
        <v>28</v>
      </c>
      <c r="P22" s="2" t="s">
        <v>28</v>
      </c>
      <c r="Q22" s="2" t="s">
        <v>28</v>
      </c>
      <c r="R22" s="2" t="s">
        <v>28</v>
      </c>
      <c r="S22" s="2" t="s">
        <v>28</v>
      </c>
      <c r="T22" s="2" t="s">
        <v>28</v>
      </c>
      <c r="U22" s="2" t="s">
        <v>28</v>
      </c>
      <c r="V22" s="23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ht="19.5" customHeight="1" x14ac:dyDescent="0.2">
      <c r="A23" s="2"/>
      <c r="B23" s="2"/>
      <c r="C23" s="2"/>
      <c r="D23" s="2"/>
      <c r="E23" s="2"/>
      <c r="F23" s="12"/>
      <c r="G23" s="2"/>
      <c r="H23" s="6" t="s">
        <v>38</v>
      </c>
      <c r="I23" s="6" t="s">
        <v>55</v>
      </c>
      <c r="J23" s="6" t="s">
        <v>56</v>
      </c>
      <c r="K23" s="6" t="s">
        <v>57</v>
      </c>
      <c r="L23" s="6" t="s">
        <v>24</v>
      </c>
      <c r="M23" s="8">
        <f t="shared" si="3"/>
        <v>0.39583333333333331</v>
      </c>
      <c r="N23" s="6" t="s">
        <v>28</v>
      </c>
      <c r="O23" s="6" t="s">
        <v>56</v>
      </c>
      <c r="P23" s="6" t="s">
        <v>58</v>
      </c>
      <c r="Q23" s="6" t="s">
        <v>59</v>
      </c>
      <c r="R23" s="6" t="s">
        <v>58</v>
      </c>
      <c r="S23" s="6" t="s">
        <v>60</v>
      </c>
      <c r="T23" s="6" t="s">
        <v>61</v>
      </c>
      <c r="U23" s="6" t="s">
        <v>62</v>
      </c>
      <c r="V23" s="23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ht="19.5" customHeight="1" x14ac:dyDescent="0.2">
      <c r="A24" s="2" t="s">
        <v>29</v>
      </c>
      <c r="B24" s="2" t="s">
        <v>21</v>
      </c>
      <c r="C24" s="2" t="s">
        <v>54</v>
      </c>
      <c r="D24" s="2" t="s">
        <v>23</v>
      </c>
      <c r="E24" s="2" t="s">
        <v>24</v>
      </c>
      <c r="F24" s="12">
        <f>C24+D24+E24</f>
        <v>0.39305555555555555</v>
      </c>
      <c r="G24" s="2" t="s">
        <v>40</v>
      </c>
      <c r="H24" s="2" t="s">
        <v>29</v>
      </c>
      <c r="I24" s="2" t="s">
        <v>25</v>
      </c>
      <c r="J24" s="2" t="s">
        <v>65</v>
      </c>
      <c r="K24" s="2" t="s">
        <v>23</v>
      </c>
      <c r="L24" s="2" t="s">
        <v>31</v>
      </c>
      <c r="M24" s="12">
        <f t="shared" si="3"/>
        <v>0.44513888888888886</v>
      </c>
      <c r="N24" s="2" t="s">
        <v>40</v>
      </c>
      <c r="O24" s="2" t="s">
        <v>28</v>
      </c>
      <c r="P24" s="2" t="s">
        <v>28</v>
      </c>
      <c r="Q24" s="2" t="s">
        <v>28</v>
      </c>
      <c r="R24" s="2" t="s">
        <v>28</v>
      </c>
      <c r="S24" s="2" t="s">
        <v>28</v>
      </c>
      <c r="T24" s="2" t="s">
        <v>28</v>
      </c>
      <c r="U24" s="2" t="s">
        <v>28</v>
      </c>
      <c r="V24" s="23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ht="19.5" customHeight="1" x14ac:dyDescent="0.2">
      <c r="A25" s="2" t="s">
        <v>34</v>
      </c>
      <c r="B25" s="2" t="s">
        <v>21</v>
      </c>
      <c r="C25" s="2" t="s">
        <v>63</v>
      </c>
      <c r="D25" s="2" t="s">
        <v>23</v>
      </c>
      <c r="E25" s="2" t="s">
        <v>24</v>
      </c>
      <c r="F25" s="12">
        <f>C25+D25+E25</f>
        <v>0.42083333333333334</v>
      </c>
      <c r="G25" s="2" t="s">
        <v>64</v>
      </c>
      <c r="H25" s="2" t="s">
        <v>34</v>
      </c>
      <c r="I25" s="2" t="s">
        <v>25</v>
      </c>
      <c r="J25" s="2" t="s">
        <v>67</v>
      </c>
      <c r="K25" s="2" t="s">
        <v>23</v>
      </c>
      <c r="L25" s="2" t="s">
        <v>24</v>
      </c>
      <c r="M25" s="12">
        <f t="shared" si="3"/>
        <v>0.45208333333333334</v>
      </c>
      <c r="N25" s="2" t="s">
        <v>64</v>
      </c>
      <c r="O25" s="2" t="s">
        <v>28</v>
      </c>
      <c r="P25" s="2" t="s">
        <v>28</v>
      </c>
      <c r="Q25" s="2" t="s">
        <v>28</v>
      </c>
      <c r="R25" s="2" t="s">
        <v>28</v>
      </c>
      <c r="S25" s="2" t="s">
        <v>28</v>
      </c>
      <c r="T25" s="2" t="s">
        <v>28</v>
      </c>
      <c r="U25" s="2" t="s">
        <v>28</v>
      </c>
      <c r="V25" s="23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ht="19.5" customHeight="1" x14ac:dyDescent="0.2">
      <c r="A26" s="2" t="s">
        <v>20</v>
      </c>
      <c r="B26" s="2" t="s">
        <v>21</v>
      </c>
      <c r="C26" s="2" t="s">
        <v>66</v>
      </c>
      <c r="D26" s="2" t="s">
        <v>23</v>
      </c>
      <c r="E26" s="2" t="s">
        <v>24</v>
      </c>
      <c r="F26" s="12">
        <f>C26+D26+E26</f>
        <v>0.44861111111111113</v>
      </c>
      <c r="G26" s="2" t="s">
        <v>64</v>
      </c>
      <c r="H26" s="2" t="s">
        <v>20</v>
      </c>
      <c r="I26" s="2" t="s">
        <v>25</v>
      </c>
      <c r="J26" s="2" t="s">
        <v>69</v>
      </c>
      <c r="K26" s="2" t="s">
        <v>23</v>
      </c>
      <c r="L26" s="2" t="s">
        <v>70</v>
      </c>
      <c r="M26" s="12">
        <f t="shared" si="3"/>
        <v>0.58333333333333337</v>
      </c>
      <c r="N26" s="2" t="s">
        <v>64</v>
      </c>
      <c r="O26" s="2" t="s">
        <v>28</v>
      </c>
      <c r="P26" s="2" t="s">
        <v>28</v>
      </c>
      <c r="Q26" s="2" t="s">
        <v>28</v>
      </c>
      <c r="R26" s="2" t="s">
        <v>28</v>
      </c>
      <c r="S26" s="2" t="s">
        <v>28</v>
      </c>
      <c r="T26" s="2" t="s">
        <v>28</v>
      </c>
      <c r="U26" s="2" t="s">
        <v>28</v>
      </c>
      <c r="V26" s="23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ht="19.5" customHeight="1" x14ac:dyDescent="0.2">
      <c r="A27" s="2"/>
      <c r="B27" s="2"/>
      <c r="C27" s="2"/>
      <c r="D27" s="2"/>
      <c r="E27" s="2"/>
      <c r="F27" s="12"/>
      <c r="G27" s="2"/>
      <c r="H27" s="6" t="s">
        <v>34</v>
      </c>
      <c r="I27" s="6" t="s">
        <v>55</v>
      </c>
      <c r="J27" s="6" t="s">
        <v>72</v>
      </c>
      <c r="K27" s="6" t="s">
        <v>57</v>
      </c>
      <c r="L27" s="6" t="s">
        <v>24</v>
      </c>
      <c r="M27" s="8">
        <f t="shared" si="3"/>
        <v>0.45555555555555555</v>
      </c>
      <c r="N27" s="6" t="s">
        <v>28</v>
      </c>
      <c r="O27" s="6" t="s">
        <v>72</v>
      </c>
      <c r="P27" s="6" t="s">
        <v>73</v>
      </c>
      <c r="Q27" s="6" t="s">
        <v>74</v>
      </c>
      <c r="R27" s="6" t="s">
        <v>73</v>
      </c>
      <c r="S27" s="6" t="s">
        <v>75</v>
      </c>
      <c r="T27" s="6" t="s">
        <v>76</v>
      </c>
      <c r="U27" s="6" t="s">
        <v>77</v>
      </c>
      <c r="V27" s="23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ht="19.5" customHeight="1" x14ac:dyDescent="0.2">
      <c r="A28" s="2"/>
      <c r="B28" s="2"/>
      <c r="C28" s="2"/>
      <c r="D28" s="2"/>
      <c r="E28" s="2"/>
      <c r="F28" s="12"/>
      <c r="G28" s="2"/>
      <c r="H28" s="7" t="s">
        <v>38</v>
      </c>
      <c r="I28" s="7" t="s">
        <v>79</v>
      </c>
      <c r="J28" s="7" t="s">
        <v>80</v>
      </c>
      <c r="K28" s="7" t="s">
        <v>57</v>
      </c>
      <c r="L28" s="7" t="s">
        <v>24</v>
      </c>
      <c r="M28" s="7">
        <f>J28+K28+L28</f>
        <v>0.47291666666666665</v>
      </c>
      <c r="N28" s="7" t="s">
        <v>28</v>
      </c>
      <c r="O28" s="2" t="s">
        <v>28</v>
      </c>
      <c r="P28" s="2" t="s">
        <v>28</v>
      </c>
      <c r="Q28" s="2" t="s">
        <v>28</v>
      </c>
      <c r="R28" s="2" t="s">
        <v>28</v>
      </c>
      <c r="S28" s="2" t="s">
        <v>28</v>
      </c>
      <c r="T28" s="2" t="s">
        <v>28</v>
      </c>
      <c r="U28" s="2" t="s">
        <v>28</v>
      </c>
      <c r="V28" s="23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9.5" customHeight="1" x14ac:dyDescent="0.2">
      <c r="A29" s="2" t="s">
        <v>29</v>
      </c>
      <c r="B29" s="2" t="s">
        <v>21</v>
      </c>
      <c r="C29" s="2" t="s">
        <v>68</v>
      </c>
      <c r="D29" s="2" t="s">
        <v>23</v>
      </c>
      <c r="E29" s="2" t="s">
        <v>24</v>
      </c>
      <c r="F29" s="12">
        <f>C29+D29+E29</f>
        <v>0.47638888888888886</v>
      </c>
      <c r="G29" s="2" t="s">
        <v>64</v>
      </c>
      <c r="H29" s="2" t="s">
        <v>29</v>
      </c>
      <c r="I29" s="2" t="s">
        <v>25</v>
      </c>
      <c r="J29" s="2" t="s">
        <v>82</v>
      </c>
      <c r="K29" s="2" t="s">
        <v>23</v>
      </c>
      <c r="L29" s="2" t="s">
        <v>24</v>
      </c>
      <c r="M29" s="12">
        <f t="shared" ref="M29" si="4">J29+K29+L29</f>
        <v>0.50763888888888886</v>
      </c>
      <c r="N29" s="2" t="s">
        <v>64</v>
      </c>
      <c r="O29" s="2" t="s">
        <v>28</v>
      </c>
      <c r="P29" s="2" t="s">
        <v>28</v>
      </c>
      <c r="Q29" s="2" t="s">
        <v>28</v>
      </c>
      <c r="R29" s="2" t="s">
        <v>28</v>
      </c>
      <c r="S29" s="2" t="s">
        <v>28</v>
      </c>
      <c r="T29" s="2" t="s">
        <v>28</v>
      </c>
      <c r="U29" s="2" t="s">
        <v>28</v>
      </c>
      <c r="V29" s="23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ht="19.5" customHeight="1" x14ac:dyDescent="0.2">
      <c r="H30" s="7" t="s">
        <v>34</v>
      </c>
      <c r="I30" s="7" t="s">
        <v>79</v>
      </c>
      <c r="J30" s="7" t="s">
        <v>75</v>
      </c>
      <c r="K30" s="7" t="s">
        <v>57</v>
      </c>
      <c r="L30" s="7" t="s">
        <v>24</v>
      </c>
      <c r="M30" s="7">
        <f>J30+K30+L30</f>
        <v>0.50416666666666665</v>
      </c>
      <c r="N30" s="7" t="s">
        <v>28</v>
      </c>
      <c r="O30" s="2" t="s">
        <v>28</v>
      </c>
      <c r="P30" s="2" t="s">
        <v>28</v>
      </c>
      <c r="Q30" s="2" t="s">
        <v>28</v>
      </c>
      <c r="R30" s="2" t="s">
        <v>28</v>
      </c>
      <c r="S30" s="2" t="s">
        <v>28</v>
      </c>
      <c r="T30" s="2" t="s">
        <v>28</v>
      </c>
      <c r="U30" s="2" t="s">
        <v>28</v>
      </c>
      <c r="V30" s="23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ht="19.5" customHeight="1" x14ac:dyDescent="0.2">
      <c r="A31" s="2" t="s">
        <v>38</v>
      </c>
      <c r="B31" s="2" t="s">
        <v>21</v>
      </c>
      <c r="C31" s="2" t="s">
        <v>71</v>
      </c>
      <c r="D31" s="2" t="s">
        <v>23</v>
      </c>
      <c r="E31" s="2" t="s">
        <v>24</v>
      </c>
      <c r="F31" s="12">
        <f>C31+D31+E31</f>
        <v>0.50416666666666665</v>
      </c>
      <c r="G31" s="2" t="s">
        <v>64</v>
      </c>
      <c r="H31" s="2" t="s">
        <v>38</v>
      </c>
      <c r="I31" s="2" t="s">
        <v>25</v>
      </c>
      <c r="J31" s="2" t="s">
        <v>78</v>
      </c>
      <c r="K31" s="2" t="s">
        <v>23</v>
      </c>
      <c r="L31" s="2" t="s">
        <v>24</v>
      </c>
      <c r="M31" s="12">
        <f t="shared" ref="M31:M32" si="5">J31+K31+L31</f>
        <v>0.53541666666666665</v>
      </c>
      <c r="N31" s="2" t="s">
        <v>64</v>
      </c>
      <c r="O31" s="2" t="s">
        <v>28</v>
      </c>
      <c r="P31" s="2" t="s">
        <v>28</v>
      </c>
      <c r="Q31" s="2" t="s">
        <v>28</v>
      </c>
      <c r="R31" s="2" t="s">
        <v>28</v>
      </c>
      <c r="S31" s="2" t="s">
        <v>28</v>
      </c>
      <c r="T31" s="2" t="s">
        <v>28</v>
      </c>
      <c r="U31" s="2" t="s">
        <v>28</v>
      </c>
      <c r="V31" s="23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ht="19.5" customHeight="1" x14ac:dyDescent="0.2">
      <c r="A32" s="2"/>
      <c r="B32" s="2"/>
      <c r="C32" s="2"/>
      <c r="D32" s="2"/>
      <c r="E32" s="2"/>
      <c r="F32" s="12"/>
      <c r="G32" s="2"/>
      <c r="H32" s="6" t="s">
        <v>29</v>
      </c>
      <c r="I32" s="6" t="s">
        <v>55</v>
      </c>
      <c r="J32" s="6" t="s">
        <v>86</v>
      </c>
      <c r="K32" s="6" t="s">
        <v>57</v>
      </c>
      <c r="L32" s="6" t="s">
        <v>24</v>
      </c>
      <c r="M32" s="8">
        <f t="shared" si="5"/>
        <v>0.51111111111111107</v>
      </c>
      <c r="N32" s="6" t="s">
        <v>28</v>
      </c>
      <c r="O32" s="6" t="s">
        <v>86</v>
      </c>
      <c r="P32" s="6" t="s">
        <v>87</v>
      </c>
      <c r="Q32" s="6" t="s">
        <v>88</v>
      </c>
      <c r="R32" s="6" t="s">
        <v>87</v>
      </c>
      <c r="S32" s="6" t="s">
        <v>89</v>
      </c>
      <c r="T32" s="6" t="s">
        <v>61</v>
      </c>
      <c r="U32" s="6" t="s">
        <v>90</v>
      </c>
      <c r="V32" s="23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ht="19.5" customHeight="1" x14ac:dyDescent="0.2">
      <c r="A33" s="2" t="s">
        <v>34</v>
      </c>
      <c r="B33" s="2" t="s">
        <v>21</v>
      </c>
      <c r="C33" s="2" t="s">
        <v>78</v>
      </c>
      <c r="D33" s="2" t="s">
        <v>23</v>
      </c>
      <c r="E33" s="2" t="s">
        <v>24</v>
      </c>
      <c r="F33" s="12">
        <f>C33+D33+E33</f>
        <v>0.53541666666666665</v>
      </c>
      <c r="G33" s="2" t="s">
        <v>23</v>
      </c>
      <c r="H33" s="2" t="s">
        <v>34</v>
      </c>
      <c r="I33" s="2" t="s">
        <v>25</v>
      </c>
      <c r="J33" s="2" t="s">
        <v>81</v>
      </c>
      <c r="K33" s="2" t="s">
        <v>23</v>
      </c>
      <c r="L33" s="2" t="s">
        <v>24</v>
      </c>
      <c r="M33" s="12">
        <f t="shared" ref="M33:M35" si="6">J33+K33+L33</f>
        <v>0.56666666666666665</v>
      </c>
      <c r="N33" s="2" t="s">
        <v>23</v>
      </c>
      <c r="O33" s="2" t="s">
        <v>28</v>
      </c>
      <c r="P33" s="2" t="s">
        <v>28</v>
      </c>
      <c r="Q33" s="2" t="s">
        <v>28</v>
      </c>
      <c r="R33" s="2" t="s">
        <v>28</v>
      </c>
      <c r="S33" s="2" t="s">
        <v>28</v>
      </c>
      <c r="T33" s="2" t="s">
        <v>28</v>
      </c>
      <c r="U33" s="2" t="s">
        <v>28</v>
      </c>
      <c r="V33" s="23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9.5" customHeight="1" x14ac:dyDescent="0.2">
      <c r="A34" s="2" t="s">
        <v>38</v>
      </c>
      <c r="B34" s="2" t="s">
        <v>21</v>
      </c>
      <c r="C34" s="2" t="s">
        <v>81</v>
      </c>
      <c r="D34" s="2" t="s">
        <v>23</v>
      </c>
      <c r="E34" s="2" t="s">
        <v>24</v>
      </c>
      <c r="F34" s="12">
        <f>C34+D34+E34</f>
        <v>0.56666666666666665</v>
      </c>
      <c r="G34" s="2" t="s">
        <v>23</v>
      </c>
      <c r="H34" s="2" t="s">
        <v>38</v>
      </c>
      <c r="I34" s="2" t="s">
        <v>25</v>
      </c>
      <c r="J34" s="2" t="s">
        <v>83</v>
      </c>
      <c r="K34" s="2" t="s">
        <v>23</v>
      </c>
      <c r="L34" s="2" t="s">
        <v>24</v>
      </c>
      <c r="M34" s="12">
        <f t="shared" si="6"/>
        <v>0.59791666666666665</v>
      </c>
      <c r="N34" s="2" t="s">
        <v>23</v>
      </c>
      <c r="O34" s="2" t="s">
        <v>28</v>
      </c>
      <c r="P34" s="2" t="s">
        <v>28</v>
      </c>
      <c r="Q34" s="2" t="s">
        <v>28</v>
      </c>
      <c r="R34" s="2" t="s">
        <v>28</v>
      </c>
      <c r="S34" s="2" t="s">
        <v>28</v>
      </c>
      <c r="T34" s="2" t="s">
        <v>28</v>
      </c>
      <c r="U34" s="2" t="s">
        <v>28</v>
      </c>
      <c r="V34" s="23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ht="19.5" customHeight="1" x14ac:dyDescent="0.2">
      <c r="A35" s="2"/>
      <c r="B35" s="2"/>
      <c r="C35" s="2"/>
      <c r="D35" s="2"/>
      <c r="E35" s="2"/>
      <c r="F35" s="12"/>
      <c r="G35" s="2"/>
      <c r="H35" s="6" t="s">
        <v>20</v>
      </c>
      <c r="I35" s="6" t="s">
        <v>55</v>
      </c>
      <c r="J35" s="6" t="s">
        <v>95</v>
      </c>
      <c r="K35" s="6" t="s">
        <v>57</v>
      </c>
      <c r="L35" s="6" t="s">
        <v>24</v>
      </c>
      <c r="M35" s="8">
        <f t="shared" si="6"/>
        <v>0.58680555555555558</v>
      </c>
      <c r="N35" s="6" t="s">
        <v>28</v>
      </c>
      <c r="O35" s="6" t="s">
        <v>95</v>
      </c>
      <c r="P35" s="6" t="s">
        <v>96</v>
      </c>
      <c r="Q35" s="6" t="s">
        <v>88</v>
      </c>
      <c r="R35" s="6" t="s">
        <v>96</v>
      </c>
      <c r="S35" s="6" t="s">
        <v>97</v>
      </c>
      <c r="T35" s="6" t="s">
        <v>61</v>
      </c>
      <c r="U35" s="6" t="s">
        <v>90</v>
      </c>
      <c r="V35" s="23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ht="19.5" customHeight="1" x14ac:dyDescent="0.2">
      <c r="A36" s="2" t="s">
        <v>34</v>
      </c>
      <c r="B36" s="2" t="s">
        <v>21</v>
      </c>
      <c r="C36" s="2" t="s">
        <v>83</v>
      </c>
      <c r="D36" s="2" t="s">
        <v>23</v>
      </c>
      <c r="E36" s="2" t="s">
        <v>24</v>
      </c>
      <c r="F36" s="12">
        <f>C36+D36+E36</f>
        <v>0.59791666666666665</v>
      </c>
      <c r="G36" s="2" t="s">
        <v>23</v>
      </c>
      <c r="H36" s="2" t="s">
        <v>34</v>
      </c>
      <c r="I36" s="2" t="s">
        <v>25</v>
      </c>
      <c r="J36" s="2" t="s">
        <v>84</v>
      </c>
      <c r="K36" s="2" t="s">
        <v>23</v>
      </c>
      <c r="L36" s="2" t="s">
        <v>99</v>
      </c>
      <c r="M36" s="12">
        <f t="shared" ref="M36" si="7">J36+K36+L36</f>
        <v>0.63958333333333328</v>
      </c>
      <c r="N36" s="2" t="s">
        <v>23</v>
      </c>
      <c r="O36" s="2" t="s">
        <v>28</v>
      </c>
      <c r="P36" s="2" t="s">
        <v>28</v>
      </c>
      <c r="Q36" s="2" t="s">
        <v>28</v>
      </c>
      <c r="R36" s="2" t="s">
        <v>28</v>
      </c>
      <c r="S36" s="2" t="s">
        <v>28</v>
      </c>
      <c r="T36" s="2" t="s">
        <v>28</v>
      </c>
      <c r="U36" s="2" t="s">
        <v>28</v>
      </c>
      <c r="V36" s="23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ht="19.5" customHeight="1" x14ac:dyDescent="0.2">
      <c r="A37" s="2"/>
      <c r="B37" s="2"/>
      <c r="C37" s="2"/>
      <c r="D37" s="2"/>
      <c r="E37" s="2"/>
      <c r="F37" s="12"/>
      <c r="G37" s="2"/>
      <c r="H37" s="7" t="s">
        <v>29</v>
      </c>
      <c r="I37" s="7" t="s">
        <v>79</v>
      </c>
      <c r="J37" s="7" t="s">
        <v>101</v>
      </c>
      <c r="K37" s="7" t="s">
        <v>57</v>
      </c>
      <c r="L37" s="7" t="s">
        <v>24</v>
      </c>
      <c r="M37" s="7">
        <f>J37+K37+L37</f>
        <v>0.61875000000000002</v>
      </c>
      <c r="N37" s="7" t="s">
        <v>28</v>
      </c>
      <c r="O37" s="2" t="s">
        <v>28</v>
      </c>
      <c r="P37" s="2" t="s">
        <v>28</v>
      </c>
      <c r="Q37" s="2" t="s">
        <v>28</v>
      </c>
      <c r="R37" s="2" t="s">
        <v>28</v>
      </c>
      <c r="S37" s="2" t="s">
        <v>28</v>
      </c>
      <c r="T37" s="2" t="s">
        <v>28</v>
      </c>
      <c r="U37" s="2" t="s">
        <v>28</v>
      </c>
      <c r="V37" s="23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ht="19.5" customHeight="1" x14ac:dyDescent="0.2">
      <c r="A38" s="2" t="s">
        <v>38</v>
      </c>
      <c r="B38" s="2" t="s">
        <v>21</v>
      </c>
      <c r="C38" s="2" t="s">
        <v>84</v>
      </c>
      <c r="D38" s="2" t="s">
        <v>23</v>
      </c>
      <c r="E38" s="2" t="s">
        <v>24</v>
      </c>
      <c r="F38" s="12">
        <f>C38+D38+E38</f>
        <v>0.62916666666666665</v>
      </c>
      <c r="G38" s="2" t="s">
        <v>23</v>
      </c>
      <c r="H38" s="2" t="s">
        <v>38</v>
      </c>
      <c r="I38" s="2" t="s">
        <v>25</v>
      </c>
      <c r="J38" s="2" t="s">
        <v>103</v>
      </c>
      <c r="K38" s="2" t="s">
        <v>23</v>
      </c>
      <c r="L38" s="2" t="s">
        <v>104</v>
      </c>
      <c r="M38" s="12">
        <f>J38+K38+Tabela1[[#This Row],[Colunas12]]</f>
        <v>0.70347222222222217</v>
      </c>
      <c r="N38" s="2" t="s">
        <v>23</v>
      </c>
      <c r="O38" s="2" t="s">
        <v>28</v>
      </c>
      <c r="P38" s="2" t="s">
        <v>28</v>
      </c>
      <c r="Q38" s="2" t="s">
        <v>28</v>
      </c>
      <c r="R38" s="2" t="s">
        <v>28</v>
      </c>
      <c r="S38" s="2" t="s">
        <v>28</v>
      </c>
      <c r="T38" s="2" t="s">
        <v>28</v>
      </c>
      <c r="U38" s="2" t="s">
        <v>28</v>
      </c>
      <c r="V38" s="23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ht="19.5" customHeight="1" x14ac:dyDescent="0.2">
      <c r="A39" s="2" t="s">
        <v>29</v>
      </c>
      <c r="B39" s="2" t="s">
        <v>21</v>
      </c>
      <c r="C39" s="2" t="s">
        <v>85</v>
      </c>
      <c r="D39" s="2" t="s">
        <v>23</v>
      </c>
      <c r="E39" s="2" t="s">
        <v>24</v>
      </c>
      <c r="F39" s="12">
        <f>C39+D39+E39</f>
        <v>0.65</v>
      </c>
      <c r="G39" s="2" t="s">
        <v>31</v>
      </c>
      <c r="H39" s="2" t="s">
        <v>29</v>
      </c>
      <c r="I39" s="2" t="s">
        <v>25</v>
      </c>
      <c r="J39" s="2" t="s">
        <v>106</v>
      </c>
      <c r="K39" s="2" t="s">
        <v>23</v>
      </c>
      <c r="L39" s="2" t="s">
        <v>33</v>
      </c>
      <c r="M39" s="12">
        <f>J39+K39+L39</f>
        <v>0.6875</v>
      </c>
      <c r="N39" s="2" t="s">
        <v>31</v>
      </c>
      <c r="O39" s="2" t="s">
        <v>28</v>
      </c>
      <c r="P39" s="2" t="s">
        <v>28</v>
      </c>
      <c r="Q39" s="2" t="s">
        <v>28</v>
      </c>
      <c r="R39" s="2" t="s">
        <v>28</v>
      </c>
      <c r="S39" s="2" t="s">
        <v>28</v>
      </c>
      <c r="T39" s="2" t="s">
        <v>28</v>
      </c>
      <c r="U39" s="2" t="s">
        <v>28</v>
      </c>
      <c r="V39" s="23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ht="19.5" customHeight="1" x14ac:dyDescent="0.2">
      <c r="A40" s="2"/>
      <c r="B40" s="2"/>
      <c r="C40" s="2"/>
      <c r="D40" s="2"/>
      <c r="E40" s="2"/>
      <c r="F40" s="12"/>
      <c r="G40" s="2"/>
      <c r="H40" s="7" t="s">
        <v>20</v>
      </c>
      <c r="I40" s="7" t="s">
        <v>79</v>
      </c>
      <c r="J40" s="7" t="s">
        <v>97</v>
      </c>
      <c r="K40" s="7" t="s">
        <v>57</v>
      </c>
      <c r="L40" s="7" t="s">
        <v>24</v>
      </c>
      <c r="M40" s="7">
        <f>J40+K40+L40</f>
        <v>0.65555555555555556</v>
      </c>
      <c r="N40" s="7" t="s">
        <v>28</v>
      </c>
      <c r="O40" s="2" t="s">
        <v>28</v>
      </c>
      <c r="P40" s="2" t="s">
        <v>28</v>
      </c>
      <c r="Q40" s="2" t="s">
        <v>28</v>
      </c>
      <c r="R40" s="2" t="s">
        <v>28</v>
      </c>
      <c r="S40" s="2" t="s">
        <v>28</v>
      </c>
      <c r="T40" s="2" t="s">
        <v>28</v>
      </c>
      <c r="U40" s="2" t="s">
        <v>28</v>
      </c>
      <c r="V40" s="23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ht="19.5" customHeight="1" x14ac:dyDescent="0.2">
      <c r="A41" s="15"/>
      <c r="B41" s="15"/>
      <c r="C41" s="15"/>
      <c r="D41" s="15"/>
      <c r="E41" s="15"/>
      <c r="F41" s="16"/>
      <c r="G41" s="15"/>
      <c r="H41" s="20">
        <v>9</v>
      </c>
      <c r="I41" s="7" t="s">
        <v>79</v>
      </c>
      <c r="J41" s="7">
        <v>0.66805555555555562</v>
      </c>
      <c r="K41" s="7">
        <v>3.472222222222222E-3</v>
      </c>
      <c r="L41" s="7">
        <v>0</v>
      </c>
      <c r="M41" s="7">
        <f>J41+K41+L41</f>
        <v>0.67152777777777783</v>
      </c>
      <c r="N41" s="7"/>
      <c r="O41" s="15"/>
      <c r="P41" s="15"/>
      <c r="Q41" s="15"/>
      <c r="R41" s="15"/>
      <c r="S41" s="15"/>
      <c r="T41" s="15"/>
      <c r="U41" s="15"/>
      <c r="V41" s="23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ht="19.5" customHeight="1" x14ac:dyDescent="0.2">
      <c r="A42" s="2" t="s">
        <v>34</v>
      </c>
      <c r="B42" s="2" t="s">
        <v>21</v>
      </c>
      <c r="C42" s="2" t="s">
        <v>91</v>
      </c>
      <c r="D42" s="2" t="s">
        <v>23</v>
      </c>
      <c r="E42" s="2" t="s">
        <v>24</v>
      </c>
      <c r="F42" s="12">
        <f>C42+D42+E42</f>
        <v>0.67083333333333328</v>
      </c>
      <c r="G42" s="2" t="s">
        <v>31</v>
      </c>
      <c r="H42" s="2" t="s">
        <v>34</v>
      </c>
      <c r="I42" s="2" t="s">
        <v>25</v>
      </c>
      <c r="J42" s="2" t="s">
        <v>109</v>
      </c>
      <c r="K42" s="2" t="s">
        <v>23</v>
      </c>
      <c r="L42" s="2" t="s">
        <v>24</v>
      </c>
      <c r="M42" s="12">
        <f t="shared" ref="M42:M44" si="8">J42+K42+L42</f>
        <v>0.70208333333333328</v>
      </c>
      <c r="N42" s="2" t="s">
        <v>31</v>
      </c>
      <c r="O42" s="2" t="s">
        <v>28</v>
      </c>
      <c r="P42" s="2" t="s">
        <v>28</v>
      </c>
      <c r="Q42" s="2" t="s">
        <v>28</v>
      </c>
      <c r="R42" s="2" t="s">
        <v>28</v>
      </c>
      <c r="S42" s="2" t="s">
        <v>28</v>
      </c>
      <c r="T42" s="2" t="s">
        <v>28</v>
      </c>
      <c r="U42" s="2" t="s">
        <v>28</v>
      </c>
      <c r="V42" s="23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ht="19.5" customHeight="1" x14ac:dyDescent="0.2">
      <c r="A43" s="2" t="s">
        <v>20</v>
      </c>
      <c r="B43" s="2" t="s">
        <v>21</v>
      </c>
      <c r="C43" s="2" t="s">
        <v>92</v>
      </c>
      <c r="D43" s="2" t="s">
        <v>23</v>
      </c>
      <c r="E43" s="2" t="s">
        <v>24</v>
      </c>
      <c r="F43" s="12">
        <f>C43+D43+E43</f>
        <v>0.68680555555555556</v>
      </c>
      <c r="G43" s="2" t="s">
        <v>40</v>
      </c>
      <c r="H43" s="2" t="s">
        <v>20</v>
      </c>
      <c r="I43" s="2" t="s">
        <v>25</v>
      </c>
      <c r="J43" s="2" t="s">
        <v>111</v>
      </c>
      <c r="K43" s="2" t="s">
        <v>23</v>
      </c>
      <c r="L43" s="2" t="s">
        <v>37</v>
      </c>
      <c r="M43" s="12">
        <f t="shared" si="8"/>
        <v>0.71944444444444444</v>
      </c>
      <c r="N43" s="2" t="s">
        <v>40</v>
      </c>
      <c r="O43" s="2" t="s">
        <v>28</v>
      </c>
      <c r="P43" s="2" t="s">
        <v>28</v>
      </c>
      <c r="Q43" s="2" t="s">
        <v>28</v>
      </c>
      <c r="R43" s="2" t="s">
        <v>28</v>
      </c>
      <c r="S43" s="2" t="s">
        <v>28</v>
      </c>
      <c r="T43" s="2" t="s">
        <v>28</v>
      </c>
      <c r="U43" s="2" t="s">
        <v>28</v>
      </c>
      <c r="V43" s="23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ht="19.5" customHeight="1" x14ac:dyDescent="0.2">
      <c r="A44" s="2"/>
      <c r="B44" s="2"/>
      <c r="C44" s="2"/>
      <c r="D44" s="2"/>
      <c r="E44" s="2"/>
      <c r="F44" s="12"/>
      <c r="G44" s="2"/>
      <c r="H44" s="6" t="s">
        <v>34</v>
      </c>
      <c r="I44" s="6" t="s">
        <v>55</v>
      </c>
      <c r="J44" s="6" t="s">
        <v>113</v>
      </c>
      <c r="K44" s="6" t="s">
        <v>57</v>
      </c>
      <c r="L44" s="6" t="s">
        <v>24</v>
      </c>
      <c r="M44" s="8">
        <f t="shared" si="8"/>
        <v>0.70555555555555549</v>
      </c>
      <c r="N44" s="6" t="s">
        <v>28</v>
      </c>
      <c r="O44" s="6" t="s">
        <v>113</v>
      </c>
      <c r="P44" s="6" t="s">
        <v>114</v>
      </c>
      <c r="Q44" s="6" t="s">
        <v>115</v>
      </c>
      <c r="R44" s="6" t="s">
        <v>114</v>
      </c>
      <c r="S44" s="6" t="s">
        <v>116</v>
      </c>
      <c r="T44" s="6" t="s">
        <v>61</v>
      </c>
      <c r="U44" s="6" t="s">
        <v>77</v>
      </c>
      <c r="V44" s="23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ht="19.5" customHeight="1" x14ac:dyDescent="0.2">
      <c r="A45" s="2" t="s">
        <v>93</v>
      </c>
      <c r="B45" s="2" t="s">
        <v>21</v>
      </c>
      <c r="C45" s="2" t="s">
        <v>94</v>
      </c>
      <c r="D45" s="2" t="s">
        <v>23</v>
      </c>
      <c r="E45" s="2" t="s">
        <v>24</v>
      </c>
      <c r="F45" s="12">
        <f>C45+D45+E45</f>
        <v>0.70277777777777772</v>
      </c>
      <c r="G45" s="2" t="s">
        <v>40</v>
      </c>
      <c r="H45" s="2" t="s">
        <v>93</v>
      </c>
      <c r="I45" s="2" t="s">
        <v>25</v>
      </c>
      <c r="J45" s="2" t="s">
        <v>118</v>
      </c>
      <c r="K45" s="2" t="s">
        <v>23</v>
      </c>
      <c r="L45" s="2" t="s">
        <v>37</v>
      </c>
      <c r="M45" s="12">
        <f t="shared" ref="M45:M64" si="9">J45+K45+L45</f>
        <v>0.73541666666666661</v>
      </c>
      <c r="N45" s="2" t="s">
        <v>40</v>
      </c>
      <c r="O45" s="2" t="s">
        <v>28</v>
      </c>
      <c r="P45" s="2" t="s">
        <v>28</v>
      </c>
      <c r="Q45" s="2" t="s">
        <v>28</v>
      </c>
      <c r="R45" s="2" t="s">
        <v>28</v>
      </c>
      <c r="S45" s="2" t="s">
        <v>28</v>
      </c>
      <c r="T45" s="2" t="s">
        <v>28</v>
      </c>
      <c r="U45" s="2" t="s">
        <v>28</v>
      </c>
      <c r="V45" s="23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ht="19.5" customHeight="1" x14ac:dyDescent="0.2">
      <c r="A46" s="2" t="s">
        <v>29</v>
      </c>
      <c r="B46" s="2" t="s">
        <v>21</v>
      </c>
      <c r="C46" s="2" t="s">
        <v>98</v>
      </c>
      <c r="D46" s="2" t="s">
        <v>23</v>
      </c>
      <c r="E46" s="2" t="s">
        <v>24</v>
      </c>
      <c r="F46" s="12">
        <f>C46+D46+E46</f>
        <v>0.71875</v>
      </c>
      <c r="G46" s="2" t="s">
        <v>40</v>
      </c>
      <c r="H46" s="2" t="s">
        <v>29</v>
      </c>
      <c r="I46" s="2" t="s">
        <v>25</v>
      </c>
      <c r="J46" s="2" t="s">
        <v>120</v>
      </c>
      <c r="K46" s="2" t="s">
        <v>23</v>
      </c>
      <c r="L46" s="2" t="s">
        <v>37</v>
      </c>
      <c r="M46" s="12">
        <f t="shared" si="9"/>
        <v>0.75138888888888888</v>
      </c>
      <c r="N46" s="2" t="s">
        <v>40</v>
      </c>
      <c r="O46" s="2" t="s">
        <v>28</v>
      </c>
      <c r="P46" s="2" t="s">
        <v>28</v>
      </c>
      <c r="Q46" s="2" t="s">
        <v>28</v>
      </c>
      <c r="R46" s="2" t="s">
        <v>28</v>
      </c>
      <c r="S46" s="2" t="s">
        <v>28</v>
      </c>
      <c r="T46" s="2" t="s">
        <v>28</v>
      </c>
      <c r="U46" s="2" t="s">
        <v>28</v>
      </c>
      <c r="V46" s="23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ht="19.5" customHeight="1" x14ac:dyDescent="0.2">
      <c r="A47" s="2" t="s">
        <v>38</v>
      </c>
      <c r="B47" s="2" t="s">
        <v>21</v>
      </c>
      <c r="C47" s="2" t="s">
        <v>100</v>
      </c>
      <c r="D47" s="2" t="s">
        <v>23</v>
      </c>
      <c r="E47" s="2" t="s">
        <v>24</v>
      </c>
      <c r="F47" s="12">
        <f>C47+D47+E47</f>
        <v>0.73472222222222228</v>
      </c>
      <c r="G47" s="2" t="s">
        <v>40</v>
      </c>
      <c r="H47" s="2" t="s">
        <v>38</v>
      </c>
      <c r="I47" s="2" t="s">
        <v>25</v>
      </c>
      <c r="J47" s="2" t="s">
        <v>122</v>
      </c>
      <c r="K47" s="2" t="s">
        <v>23</v>
      </c>
      <c r="L47" s="2" t="s">
        <v>37</v>
      </c>
      <c r="M47" s="12">
        <f t="shared" si="9"/>
        <v>0.76736111111111116</v>
      </c>
      <c r="N47" s="2" t="s">
        <v>40</v>
      </c>
      <c r="O47" s="2" t="s">
        <v>28</v>
      </c>
      <c r="P47" s="2" t="s">
        <v>28</v>
      </c>
      <c r="Q47" s="2" t="s">
        <v>28</v>
      </c>
      <c r="R47" s="2" t="s">
        <v>28</v>
      </c>
      <c r="S47" s="2" t="s">
        <v>28</v>
      </c>
      <c r="T47" s="2" t="s">
        <v>28</v>
      </c>
      <c r="U47" s="2" t="s">
        <v>28</v>
      </c>
      <c r="V47" s="23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ht="19.5" customHeight="1" x14ac:dyDescent="0.2">
      <c r="A48" s="2" t="s">
        <v>20</v>
      </c>
      <c r="B48" s="2" t="s">
        <v>21</v>
      </c>
      <c r="C48" s="2" t="s">
        <v>102</v>
      </c>
      <c r="D48" s="2" t="s">
        <v>23</v>
      </c>
      <c r="E48" s="2" t="s">
        <v>24</v>
      </c>
      <c r="F48" s="12">
        <f>C48+D48+E48</f>
        <v>0.75069444444444444</v>
      </c>
      <c r="G48" s="2" t="s">
        <v>40</v>
      </c>
      <c r="H48" s="2" t="s">
        <v>20</v>
      </c>
      <c r="I48" s="2" t="s">
        <v>25</v>
      </c>
      <c r="J48" s="2" t="s">
        <v>116</v>
      </c>
      <c r="K48" s="2" t="s">
        <v>23</v>
      </c>
      <c r="L48" s="2" t="s">
        <v>48</v>
      </c>
      <c r="M48" s="12">
        <f t="shared" si="9"/>
        <v>0.79513888888888884</v>
      </c>
      <c r="N48" s="2" t="s">
        <v>40</v>
      </c>
      <c r="O48" s="2" t="s">
        <v>28</v>
      </c>
      <c r="P48" s="2" t="s">
        <v>28</v>
      </c>
      <c r="Q48" s="2" t="s">
        <v>28</v>
      </c>
      <c r="R48" s="2" t="s">
        <v>28</v>
      </c>
      <c r="S48" s="2" t="s">
        <v>28</v>
      </c>
      <c r="T48" s="2" t="s">
        <v>28</v>
      </c>
      <c r="U48" s="2" t="s">
        <v>28</v>
      </c>
      <c r="V48" s="23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ht="19.5" customHeight="1" x14ac:dyDescent="0.2">
      <c r="A49" s="2"/>
      <c r="B49" s="2"/>
      <c r="C49" s="2"/>
      <c r="D49" s="2"/>
      <c r="E49" s="2"/>
      <c r="F49" s="12"/>
      <c r="G49" s="2"/>
      <c r="H49" s="9" t="s">
        <v>34</v>
      </c>
      <c r="I49" s="9" t="s">
        <v>125</v>
      </c>
      <c r="J49" s="9" t="s">
        <v>116</v>
      </c>
      <c r="K49" s="9" t="s">
        <v>126</v>
      </c>
      <c r="L49" s="9" t="s">
        <v>24</v>
      </c>
      <c r="M49" s="10">
        <f t="shared" si="9"/>
        <v>0.77638888888888891</v>
      </c>
      <c r="N49" s="9" t="s">
        <v>28</v>
      </c>
      <c r="O49" s="2" t="s">
        <v>28</v>
      </c>
      <c r="P49" s="2" t="s">
        <v>28</v>
      </c>
      <c r="Q49" s="2" t="s">
        <v>28</v>
      </c>
      <c r="R49" s="2" t="s">
        <v>28</v>
      </c>
      <c r="S49" s="2" t="s">
        <v>28</v>
      </c>
      <c r="T49" s="2" t="s">
        <v>28</v>
      </c>
      <c r="U49" s="2" t="s">
        <v>28</v>
      </c>
      <c r="V49" s="23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ht="19.5" customHeight="1" x14ac:dyDescent="0.2">
      <c r="A50" s="2" t="s">
        <v>93</v>
      </c>
      <c r="B50" s="2" t="s">
        <v>21</v>
      </c>
      <c r="C50" s="2" t="s">
        <v>105</v>
      </c>
      <c r="D50" s="2" t="s">
        <v>23</v>
      </c>
      <c r="E50" s="2" t="s">
        <v>24</v>
      </c>
      <c r="F50" s="12">
        <f>C50+D50+E50</f>
        <v>0.76666666666666672</v>
      </c>
      <c r="G50" s="2" t="s">
        <v>40</v>
      </c>
      <c r="H50" s="2" t="s">
        <v>93</v>
      </c>
      <c r="I50" s="2" t="s">
        <v>25</v>
      </c>
      <c r="J50" s="2" t="s">
        <v>128</v>
      </c>
      <c r="K50" s="2" t="s">
        <v>23</v>
      </c>
      <c r="L50" s="2" t="s">
        <v>24</v>
      </c>
      <c r="M50" s="12">
        <f t="shared" si="9"/>
        <v>0.79791666666666672</v>
      </c>
      <c r="N50" s="2" t="s">
        <v>40</v>
      </c>
      <c r="O50" s="2" t="s">
        <v>28</v>
      </c>
      <c r="P50" s="2" t="s">
        <v>28</v>
      </c>
      <c r="Q50" s="2" t="s">
        <v>28</v>
      </c>
      <c r="R50" s="2" t="s">
        <v>28</v>
      </c>
      <c r="S50" s="2" t="s">
        <v>28</v>
      </c>
      <c r="T50" s="2" t="s">
        <v>28</v>
      </c>
      <c r="U50" s="2" t="s">
        <v>28</v>
      </c>
      <c r="V50" s="23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ht="19.5" customHeight="1" x14ac:dyDescent="0.2">
      <c r="A51" s="2" t="s">
        <v>29</v>
      </c>
      <c r="B51" s="2" t="s">
        <v>21</v>
      </c>
      <c r="C51" s="2" t="s">
        <v>107</v>
      </c>
      <c r="D51" s="2" t="s">
        <v>23</v>
      </c>
      <c r="E51" s="2" t="s">
        <v>24</v>
      </c>
      <c r="F51" s="12">
        <f>C51+D51+E51</f>
        <v>0.78263888888888888</v>
      </c>
      <c r="G51" s="2" t="s">
        <v>40</v>
      </c>
      <c r="H51" s="2" t="s">
        <v>29</v>
      </c>
      <c r="I51" s="2" t="s">
        <v>25</v>
      </c>
      <c r="J51" s="2" t="s">
        <v>129</v>
      </c>
      <c r="K51" s="2" t="s">
        <v>23</v>
      </c>
      <c r="L51" s="2" t="s">
        <v>53</v>
      </c>
      <c r="M51" s="12">
        <f t="shared" si="9"/>
        <v>0.82291666666666663</v>
      </c>
      <c r="N51" s="2" t="s">
        <v>40</v>
      </c>
      <c r="O51" s="2" t="s">
        <v>28</v>
      </c>
      <c r="P51" s="2" t="s">
        <v>28</v>
      </c>
      <c r="Q51" s="2" t="s">
        <v>28</v>
      </c>
      <c r="R51" s="2" t="s">
        <v>28</v>
      </c>
      <c r="S51" s="2" t="s">
        <v>28</v>
      </c>
      <c r="T51" s="2" t="s">
        <v>28</v>
      </c>
      <c r="U51" s="2" t="s">
        <v>28</v>
      </c>
      <c r="V51" s="23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ht="19.5" customHeight="1" x14ac:dyDescent="0.2">
      <c r="A52" s="2"/>
      <c r="B52" s="2"/>
      <c r="C52" s="2"/>
      <c r="D52" s="2"/>
      <c r="E52" s="2"/>
      <c r="F52" s="12"/>
      <c r="G52" s="2"/>
      <c r="H52" s="6" t="s">
        <v>93</v>
      </c>
      <c r="I52" s="6" t="s">
        <v>55</v>
      </c>
      <c r="J52" s="6" t="s">
        <v>130</v>
      </c>
      <c r="K52" s="6" t="s">
        <v>57</v>
      </c>
      <c r="L52" s="6" t="s">
        <v>24</v>
      </c>
      <c r="M52" s="8">
        <f t="shared" si="9"/>
        <v>0.80138888888888893</v>
      </c>
      <c r="N52" s="6" t="s">
        <v>28</v>
      </c>
      <c r="O52" s="6" t="s">
        <v>130</v>
      </c>
      <c r="P52" s="6" t="s">
        <v>131</v>
      </c>
      <c r="Q52" s="6" t="s">
        <v>132</v>
      </c>
      <c r="R52" s="6" t="s">
        <v>131</v>
      </c>
      <c r="S52" s="6" t="s">
        <v>133</v>
      </c>
      <c r="T52" s="6" t="s">
        <v>61</v>
      </c>
      <c r="U52" s="6" t="s">
        <v>134</v>
      </c>
      <c r="V52" s="23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ht="19.5" customHeight="1" x14ac:dyDescent="0.2">
      <c r="A53" s="2" t="s">
        <v>38</v>
      </c>
      <c r="B53" s="2" t="s">
        <v>21</v>
      </c>
      <c r="C53" s="2" t="s">
        <v>108</v>
      </c>
      <c r="D53" s="2" t="s">
        <v>23</v>
      </c>
      <c r="E53" s="2" t="s">
        <v>24</v>
      </c>
      <c r="F53" s="12">
        <f>C53+D53+E53</f>
        <v>0.79861111111111116</v>
      </c>
      <c r="G53" s="2" t="s">
        <v>40</v>
      </c>
      <c r="H53" s="2" t="s">
        <v>38</v>
      </c>
      <c r="I53" s="2" t="s">
        <v>25</v>
      </c>
      <c r="J53" s="2" t="s">
        <v>135</v>
      </c>
      <c r="K53" s="2" t="s">
        <v>23</v>
      </c>
      <c r="L53" s="2" t="s">
        <v>31</v>
      </c>
      <c r="M53" s="12">
        <f t="shared" si="9"/>
        <v>0.85069444444444453</v>
      </c>
      <c r="N53" s="2" t="s">
        <v>40</v>
      </c>
      <c r="O53" s="2" t="s">
        <v>28</v>
      </c>
      <c r="P53" s="2" t="s">
        <v>28</v>
      </c>
      <c r="Q53" s="2" t="s">
        <v>28</v>
      </c>
      <c r="R53" s="2" t="s">
        <v>28</v>
      </c>
      <c r="S53" s="2" t="s">
        <v>28</v>
      </c>
      <c r="T53" s="2" t="s">
        <v>28</v>
      </c>
      <c r="U53" s="2" t="s">
        <v>28</v>
      </c>
      <c r="V53" s="23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ht="19.5" customHeight="1" x14ac:dyDescent="0.2">
      <c r="A54" s="2" t="s">
        <v>20</v>
      </c>
      <c r="B54" s="2" t="s">
        <v>21</v>
      </c>
      <c r="C54" s="2" t="s">
        <v>110</v>
      </c>
      <c r="D54" s="2" t="s">
        <v>23</v>
      </c>
      <c r="E54" s="2" t="s">
        <v>24</v>
      </c>
      <c r="F54" s="12">
        <f>C54+D54+E54</f>
        <v>0.82638888888888884</v>
      </c>
      <c r="G54" s="2" t="s">
        <v>64</v>
      </c>
      <c r="H54" s="2" t="s">
        <v>20</v>
      </c>
      <c r="I54" s="2" t="s">
        <v>25</v>
      </c>
      <c r="J54" s="2" t="s">
        <v>133</v>
      </c>
      <c r="K54" s="2" t="s">
        <v>23</v>
      </c>
      <c r="L54" s="2" t="s">
        <v>31</v>
      </c>
      <c r="M54" s="12">
        <f t="shared" si="9"/>
        <v>0.87847222222222221</v>
      </c>
      <c r="N54" s="2" t="s">
        <v>64</v>
      </c>
      <c r="O54" s="2" t="s">
        <v>28</v>
      </c>
      <c r="P54" s="2" t="s">
        <v>28</v>
      </c>
      <c r="Q54" s="2" t="s">
        <v>28</v>
      </c>
      <c r="R54" s="2" t="s">
        <v>28</v>
      </c>
      <c r="S54" s="2" t="s">
        <v>28</v>
      </c>
      <c r="T54" s="2" t="s">
        <v>28</v>
      </c>
      <c r="U54" s="2" t="s">
        <v>28</v>
      </c>
      <c r="V54" s="23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ht="19.5" customHeight="1" x14ac:dyDescent="0.2">
      <c r="A55" s="2"/>
      <c r="B55" s="2"/>
      <c r="C55" s="2"/>
      <c r="D55" s="2"/>
      <c r="E55" s="2"/>
      <c r="F55" s="12"/>
      <c r="G55" s="2"/>
      <c r="H55" s="9" t="s">
        <v>93</v>
      </c>
      <c r="I55" s="9" t="s">
        <v>125</v>
      </c>
      <c r="J55" s="9" t="s">
        <v>133</v>
      </c>
      <c r="K55" s="9" t="s">
        <v>126</v>
      </c>
      <c r="L55" s="9" t="s">
        <v>24</v>
      </c>
      <c r="M55" s="10">
        <f t="shared" si="9"/>
        <v>0.8520833333333333</v>
      </c>
      <c r="N55" s="9" t="s">
        <v>28</v>
      </c>
      <c r="O55" s="2" t="s">
        <v>28</v>
      </c>
      <c r="P55" s="2" t="s">
        <v>28</v>
      </c>
      <c r="Q55" s="2" t="s">
        <v>28</v>
      </c>
      <c r="R55" s="2" t="s">
        <v>28</v>
      </c>
      <c r="S55" s="2" t="s">
        <v>28</v>
      </c>
      <c r="T55" s="2" t="s">
        <v>28</v>
      </c>
      <c r="U55" s="2" t="s">
        <v>28</v>
      </c>
      <c r="V55" s="23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ht="19.5" customHeight="1" x14ac:dyDescent="0.2">
      <c r="A56" s="2" t="s">
        <v>29</v>
      </c>
      <c r="B56" s="2" t="s">
        <v>21</v>
      </c>
      <c r="C56" s="2" t="s">
        <v>112</v>
      </c>
      <c r="D56" s="2" t="s">
        <v>23</v>
      </c>
      <c r="E56" s="2" t="s">
        <v>24</v>
      </c>
      <c r="F56" s="12">
        <f>C56+D56+E56</f>
        <v>0.85416666666666663</v>
      </c>
      <c r="G56" s="2" t="s">
        <v>64</v>
      </c>
      <c r="H56" s="2" t="s">
        <v>29</v>
      </c>
      <c r="I56" s="2" t="s">
        <v>25</v>
      </c>
      <c r="J56" s="2" t="s">
        <v>136</v>
      </c>
      <c r="K56" s="2" t="s">
        <v>23</v>
      </c>
      <c r="L56" s="2" t="s">
        <v>137</v>
      </c>
      <c r="M56" s="12">
        <f t="shared" si="9"/>
        <v>0.90972222222222221</v>
      </c>
      <c r="N56" s="2" t="s">
        <v>64</v>
      </c>
      <c r="O56" s="2" t="s">
        <v>28</v>
      </c>
      <c r="P56" s="2" t="s">
        <v>28</v>
      </c>
      <c r="Q56" s="2" t="s">
        <v>28</v>
      </c>
      <c r="R56" s="2" t="s">
        <v>28</v>
      </c>
      <c r="S56" s="2" t="s">
        <v>28</v>
      </c>
      <c r="T56" s="2" t="s">
        <v>28</v>
      </c>
      <c r="U56" s="2" t="s">
        <v>28</v>
      </c>
      <c r="V56" s="23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ht="19.5" customHeight="1" x14ac:dyDescent="0.2">
      <c r="A57" s="2" t="s">
        <v>38</v>
      </c>
      <c r="B57" s="2" t="s">
        <v>21</v>
      </c>
      <c r="C57" s="2" t="s">
        <v>117</v>
      </c>
      <c r="D57" s="2" t="s">
        <v>23</v>
      </c>
      <c r="E57" s="2" t="s">
        <v>24</v>
      </c>
      <c r="F57" s="12">
        <f>C57+D57+E57</f>
        <v>0.88194444444444442</v>
      </c>
      <c r="G57" s="2" t="s">
        <v>64</v>
      </c>
      <c r="H57" s="2" t="s">
        <v>38</v>
      </c>
      <c r="I57" s="2" t="s">
        <v>25</v>
      </c>
      <c r="J57" s="2" t="s">
        <v>138</v>
      </c>
      <c r="K57" s="2" t="s">
        <v>23</v>
      </c>
      <c r="L57" s="2" t="s">
        <v>24</v>
      </c>
      <c r="M57" s="12">
        <f t="shared" si="9"/>
        <v>0.91319444444444442</v>
      </c>
      <c r="N57" s="2" t="s">
        <v>64</v>
      </c>
      <c r="O57" s="2" t="s">
        <v>28</v>
      </c>
      <c r="P57" s="2" t="s">
        <v>28</v>
      </c>
      <c r="Q57" s="2" t="s">
        <v>28</v>
      </c>
      <c r="R57" s="2" t="s">
        <v>28</v>
      </c>
      <c r="S57" s="2" t="s">
        <v>28</v>
      </c>
      <c r="T57" s="2" t="s">
        <v>28</v>
      </c>
      <c r="U57" s="2" t="s">
        <v>28</v>
      </c>
      <c r="V57" s="23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ht="19.5" customHeight="1" x14ac:dyDescent="0.2">
      <c r="A58" s="2" t="s">
        <v>20</v>
      </c>
      <c r="B58" s="2" t="s">
        <v>21</v>
      </c>
      <c r="C58" s="2" t="s">
        <v>119</v>
      </c>
      <c r="D58" s="2" t="s">
        <v>23</v>
      </c>
      <c r="E58" s="2" t="s">
        <v>24</v>
      </c>
      <c r="F58" s="12">
        <f>C58+D58+E58</f>
        <v>0.90972222222222221</v>
      </c>
      <c r="G58" s="2" t="s">
        <v>64</v>
      </c>
      <c r="H58" s="2" t="s">
        <v>20</v>
      </c>
      <c r="I58" s="2" t="s">
        <v>25</v>
      </c>
      <c r="J58" s="2" t="s">
        <v>121</v>
      </c>
      <c r="K58" s="2" t="s">
        <v>23</v>
      </c>
      <c r="L58" s="2" t="s">
        <v>24</v>
      </c>
      <c r="M58" s="12">
        <f t="shared" si="9"/>
        <v>0.94097222222222221</v>
      </c>
      <c r="N58" s="2" t="s">
        <v>64</v>
      </c>
      <c r="O58" s="2" t="s">
        <v>28</v>
      </c>
      <c r="P58" s="2" t="s">
        <v>28</v>
      </c>
      <c r="Q58" s="2" t="s">
        <v>28</v>
      </c>
      <c r="R58" s="2" t="s">
        <v>28</v>
      </c>
      <c r="S58" s="2" t="s">
        <v>28</v>
      </c>
      <c r="T58" s="2" t="s">
        <v>28</v>
      </c>
      <c r="U58" s="2" t="s">
        <v>28</v>
      </c>
      <c r="V58" s="23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ht="19.5" customHeight="1" x14ac:dyDescent="0.2">
      <c r="A59" s="2"/>
      <c r="B59" s="2"/>
      <c r="C59" s="2"/>
      <c r="D59" s="2"/>
      <c r="E59" s="2"/>
      <c r="F59" s="12"/>
      <c r="G59" s="2"/>
      <c r="H59" s="6" t="s">
        <v>38</v>
      </c>
      <c r="I59" s="6" t="s">
        <v>55</v>
      </c>
      <c r="J59" s="6" t="s">
        <v>139</v>
      </c>
      <c r="K59" s="6" t="s">
        <v>57</v>
      </c>
      <c r="L59" s="6" t="s">
        <v>24</v>
      </c>
      <c r="M59" s="8">
        <f t="shared" si="9"/>
        <v>0.91666666666666663</v>
      </c>
      <c r="N59" s="6" t="s">
        <v>28</v>
      </c>
      <c r="O59" s="6" t="s">
        <v>139</v>
      </c>
      <c r="P59" s="6" t="s">
        <v>140</v>
      </c>
      <c r="Q59" s="6" t="s">
        <v>141</v>
      </c>
      <c r="R59" s="6" t="s">
        <v>140</v>
      </c>
      <c r="S59" s="6" t="s">
        <v>142</v>
      </c>
      <c r="T59" s="6" t="s">
        <v>61</v>
      </c>
      <c r="U59" s="6" t="s">
        <v>143</v>
      </c>
      <c r="V59" s="23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ht="19.5" customHeight="1" x14ac:dyDescent="0.2">
      <c r="A60" s="2" t="s">
        <v>29</v>
      </c>
      <c r="B60" s="2" t="s">
        <v>21</v>
      </c>
      <c r="C60" s="2" t="s">
        <v>121</v>
      </c>
      <c r="D60" s="2" t="s">
        <v>23</v>
      </c>
      <c r="E60" s="2" t="s">
        <v>24</v>
      </c>
      <c r="F60" s="12">
        <f>C60+D60+E60</f>
        <v>0.94097222222222221</v>
      </c>
      <c r="G60" s="2" t="s">
        <v>23</v>
      </c>
      <c r="H60" s="2" t="s">
        <v>29</v>
      </c>
      <c r="I60" s="2" t="s">
        <v>25</v>
      </c>
      <c r="J60" s="2" t="s">
        <v>123</v>
      </c>
      <c r="K60" s="2" t="s">
        <v>23</v>
      </c>
      <c r="L60" s="2" t="s">
        <v>24</v>
      </c>
      <c r="M60" s="12">
        <f t="shared" si="9"/>
        <v>0.97222222222222221</v>
      </c>
      <c r="N60" s="2" t="s">
        <v>23</v>
      </c>
      <c r="O60" s="2" t="s">
        <v>28</v>
      </c>
      <c r="P60" s="2" t="s">
        <v>28</v>
      </c>
      <c r="Q60" s="2" t="s">
        <v>28</v>
      </c>
      <c r="R60" s="2" t="s">
        <v>28</v>
      </c>
      <c r="S60" s="2" t="s">
        <v>28</v>
      </c>
      <c r="T60" s="2" t="s">
        <v>28</v>
      </c>
      <c r="U60" s="2" t="s">
        <v>28</v>
      </c>
      <c r="V60" s="23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ht="19.5" customHeight="1" x14ac:dyDescent="0.2">
      <c r="A61" s="2" t="s">
        <v>20</v>
      </c>
      <c r="B61" s="2" t="s">
        <v>21</v>
      </c>
      <c r="C61" s="2" t="s">
        <v>123</v>
      </c>
      <c r="D61" s="2" t="s">
        <v>23</v>
      </c>
      <c r="E61" s="2" t="s">
        <v>24</v>
      </c>
      <c r="F61" s="12">
        <f>C61+D61+E61</f>
        <v>0.97222222222222221</v>
      </c>
      <c r="G61" s="2" t="s">
        <v>23</v>
      </c>
      <c r="H61" s="2" t="s">
        <v>20</v>
      </c>
      <c r="I61" s="2" t="s">
        <v>25</v>
      </c>
      <c r="J61" s="2" t="s">
        <v>124</v>
      </c>
      <c r="K61" s="2" t="s">
        <v>23</v>
      </c>
      <c r="L61" s="2" t="s">
        <v>24</v>
      </c>
      <c r="M61" s="12">
        <f t="shared" si="9"/>
        <v>1.0034722222222223</v>
      </c>
      <c r="N61" s="2" t="s">
        <v>23</v>
      </c>
      <c r="O61" s="2" t="s">
        <v>28</v>
      </c>
      <c r="P61" s="2" t="s">
        <v>28</v>
      </c>
      <c r="Q61" s="2" t="s">
        <v>28</v>
      </c>
      <c r="R61" s="2" t="s">
        <v>28</v>
      </c>
      <c r="S61" s="2" t="s">
        <v>28</v>
      </c>
      <c r="T61" s="2" t="s">
        <v>28</v>
      </c>
      <c r="U61" s="2" t="s">
        <v>28</v>
      </c>
      <c r="V61" s="23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ht="19.5" customHeight="1" x14ac:dyDescent="0.2">
      <c r="A62" s="2"/>
      <c r="B62" s="2"/>
      <c r="C62" s="2"/>
      <c r="D62" s="2"/>
      <c r="E62" s="2"/>
      <c r="F62" s="12"/>
      <c r="G62" s="2"/>
      <c r="H62" s="9" t="s">
        <v>38</v>
      </c>
      <c r="I62" s="9" t="s">
        <v>125</v>
      </c>
      <c r="J62" s="9" t="s">
        <v>142</v>
      </c>
      <c r="K62" s="9" t="s">
        <v>126</v>
      </c>
      <c r="L62" s="9" t="s">
        <v>24</v>
      </c>
      <c r="M62" s="10">
        <f t="shared" si="9"/>
        <v>1.0166666666666666</v>
      </c>
      <c r="N62" s="9" t="s">
        <v>28</v>
      </c>
      <c r="O62" s="2" t="s">
        <v>28</v>
      </c>
      <c r="P62" s="2" t="s">
        <v>28</v>
      </c>
      <c r="Q62" s="2" t="s">
        <v>28</v>
      </c>
      <c r="R62" s="2" t="s">
        <v>28</v>
      </c>
      <c r="S62" s="2" t="s">
        <v>28</v>
      </c>
      <c r="T62" s="2" t="s">
        <v>28</v>
      </c>
      <c r="U62" s="2" t="s">
        <v>28</v>
      </c>
      <c r="V62" s="23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ht="19.5" customHeight="1" x14ac:dyDescent="0.2">
      <c r="A63" s="2" t="s">
        <v>29</v>
      </c>
      <c r="B63" s="2" t="s">
        <v>21</v>
      </c>
      <c r="C63" s="2" t="s">
        <v>124</v>
      </c>
      <c r="D63" s="2" t="s">
        <v>23</v>
      </c>
      <c r="E63" s="2" t="s">
        <v>24</v>
      </c>
      <c r="F63" s="12">
        <f>C63+D63+E63</f>
        <v>1.0034722222222223</v>
      </c>
      <c r="G63" s="2" t="s">
        <v>23</v>
      </c>
      <c r="H63" s="2" t="s">
        <v>29</v>
      </c>
      <c r="I63" s="2" t="s">
        <v>25</v>
      </c>
      <c r="J63" s="12">
        <v>3.472222222222222E-3</v>
      </c>
      <c r="K63" s="2" t="s">
        <v>23</v>
      </c>
      <c r="L63" s="2" t="s">
        <v>24</v>
      </c>
      <c r="M63" s="12">
        <f t="shared" si="9"/>
        <v>3.4722222222222224E-2</v>
      </c>
      <c r="N63" s="2" t="s">
        <v>23</v>
      </c>
      <c r="O63" s="2" t="s">
        <v>28</v>
      </c>
      <c r="P63" s="2" t="s">
        <v>28</v>
      </c>
      <c r="Q63" s="2" t="s">
        <v>28</v>
      </c>
      <c r="R63" s="2" t="s">
        <v>28</v>
      </c>
      <c r="S63" s="2" t="s">
        <v>28</v>
      </c>
      <c r="T63" s="2" t="s">
        <v>28</v>
      </c>
      <c r="U63" s="2" t="s">
        <v>28</v>
      </c>
      <c r="V63" s="23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ht="19.5" customHeight="1" x14ac:dyDescent="0.2">
      <c r="A64" s="2" t="s">
        <v>20</v>
      </c>
      <c r="B64" s="2" t="s">
        <v>21</v>
      </c>
      <c r="C64" s="12" t="s">
        <v>127</v>
      </c>
      <c r="D64" s="2" t="s">
        <v>23</v>
      </c>
      <c r="E64" s="2" t="s">
        <v>24</v>
      </c>
      <c r="F64" s="12">
        <f>C64+D64+E64</f>
        <v>1.0347222222222223</v>
      </c>
      <c r="G64" s="2" t="s">
        <v>23</v>
      </c>
      <c r="H64" s="6" t="s">
        <v>20</v>
      </c>
      <c r="I64" s="6" t="s">
        <v>156</v>
      </c>
      <c r="J64" s="6" t="s">
        <v>144</v>
      </c>
      <c r="K64" s="6" t="s">
        <v>145</v>
      </c>
      <c r="L64" s="6" t="s">
        <v>24</v>
      </c>
      <c r="M64" s="8">
        <f t="shared" si="9"/>
        <v>1.0520833333333335</v>
      </c>
      <c r="N64" s="6" t="s">
        <v>28</v>
      </c>
      <c r="O64" s="6" t="s">
        <v>144</v>
      </c>
      <c r="P64" s="8">
        <v>5.2083333333333336E-2</v>
      </c>
      <c r="Q64" s="6" t="s">
        <v>146</v>
      </c>
      <c r="R64" s="8">
        <v>5.2083333333333336E-2</v>
      </c>
      <c r="S64" s="8">
        <v>0.12430555555555556</v>
      </c>
      <c r="T64" s="6" t="s">
        <v>61</v>
      </c>
      <c r="U64" s="6" t="s">
        <v>147</v>
      </c>
      <c r="V64" s="23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ht="19.5" customHeight="1" x14ac:dyDescent="0.2">
      <c r="A65" s="2" t="s">
        <v>28</v>
      </c>
      <c r="B65" s="2" t="s">
        <v>28</v>
      </c>
      <c r="C65" s="2" t="s">
        <v>28</v>
      </c>
      <c r="D65" s="2" t="s">
        <v>28</v>
      </c>
      <c r="E65" s="2" t="s">
        <v>28</v>
      </c>
      <c r="F65" s="12"/>
      <c r="G65" s="2" t="s">
        <v>28</v>
      </c>
      <c r="H65" s="6" t="s">
        <v>29</v>
      </c>
      <c r="I65" s="6" t="s">
        <v>55</v>
      </c>
      <c r="J65" s="6" t="s">
        <v>144</v>
      </c>
      <c r="K65" s="6" t="s">
        <v>57</v>
      </c>
      <c r="L65" s="6" t="s">
        <v>24</v>
      </c>
      <c r="M65" s="6" t="s">
        <v>148</v>
      </c>
      <c r="N65" s="6" t="s">
        <v>28</v>
      </c>
      <c r="O65" s="6" t="s">
        <v>144</v>
      </c>
      <c r="P65" s="6" t="s">
        <v>148</v>
      </c>
      <c r="Q65" s="6" t="s">
        <v>141</v>
      </c>
      <c r="R65" s="6" t="s">
        <v>148</v>
      </c>
      <c r="S65" s="8">
        <v>0.1125</v>
      </c>
      <c r="T65" s="6" t="s">
        <v>61</v>
      </c>
      <c r="U65" s="6" t="s">
        <v>143</v>
      </c>
      <c r="V65" s="23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ht="19.5" customHeight="1" x14ac:dyDescent="0.2">
      <c r="A66" s="2" t="s">
        <v>28</v>
      </c>
      <c r="B66" s="2" t="s">
        <v>28</v>
      </c>
      <c r="C66" s="2" t="s">
        <v>28</v>
      </c>
      <c r="D66" s="2" t="s">
        <v>28</v>
      </c>
      <c r="E66" s="2" t="s">
        <v>28</v>
      </c>
      <c r="F66" s="12"/>
      <c r="G66" s="2" t="s">
        <v>28</v>
      </c>
      <c r="H66" s="9" t="s">
        <v>29</v>
      </c>
      <c r="I66" s="9" t="s">
        <v>125</v>
      </c>
      <c r="J66" s="10">
        <v>0.1125</v>
      </c>
      <c r="K66" s="9" t="s">
        <v>126</v>
      </c>
      <c r="L66" s="9" t="s">
        <v>24</v>
      </c>
      <c r="M66" s="10">
        <f>J66+K66+L66</f>
        <v>0.13819444444444445</v>
      </c>
      <c r="N66" s="9" t="s">
        <v>28</v>
      </c>
      <c r="O66" s="2" t="s">
        <v>28</v>
      </c>
      <c r="P66" s="2" t="s">
        <v>28</v>
      </c>
      <c r="Q66" s="2" t="s">
        <v>28</v>
      </c>
      <c r="R66" s="2" t="s">
        <v>28</v>
      </c>
      <c r="S66" s="2" t="s">
        <v>28</v>
      </c>
      <c r="T66" s="2" t="s">
        <v>28</v>
      </c>
      <c r="U66" s="2" t="s">
        <v>28</v>
      </c>
      <c r="V66" s="23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ht="20.100000000000001" customHeight="1" x14ac:dyDescent="0.2">
      <c r="A67" s="2" t="s">
        <v>28</v>
      </c>
      <c r="B67" s="2" t="s">
        <v>28</v>
      </c>
      <c r="C67" s="2" t="s">
        <v>28</v>
      </c>
      <c r="D67" s="2" t="s">
        <v>28</v>
      </c>
      <c r="E67" s="2" t="s">
        <v>28</v>
      </c>
      <c r="F67" s="12"/>
      <c r="G67" s="2" t="s">
        <v>28</v>
      </c>
      <c r="H67" s="9" t="s">
        <v>20</v>
      </c>
      <c r="I67" s="9" t="s">
        <v>125</v>
      </c>
      <c r="J67" s="10">
        <v>0.12430555555555556</v>
      </c>
      <c r="K67" s="9" t="s">
        <v>126</v>
      </c>
      <c r="L67" s="9" t="s">
        <v>24</v>
      </c>
      <c r="M67" s="10">
        <f>J67+K67+L67</f>
        <v>0.15</v>
      </c>
      <c r="N67" s="9" t="s">
        <v>28</v>
      </c>
      <c r="O67" s="2" t="s">
        <v>28</v>
      </c>
      <c r="P67" s="2" t="s">
        <v>28</v>
      </c>
      <c r="Q67" s="2" t="s">
        <v>28</v>
      </c>
      <c r="R67" s="2" t="s">
        <v>28</v>
      </c>
      <c r="S67" s="2" t="s">
        <v>28</v>
      </c>
      <c r="T67" s="2" t="s">
        <v>28</v>
      </c>
      <c r="U67" s="2" t="s">
        <v>28</v>
      </c>
      <c r="V67" s="23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ht="15" customHeight="1" x14ac:dyDescent="0.2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</row>
    <row r="69" spans="1:41" ht="15" customHeight="1" x14ac:dyDescent="0.2">
      <c r="A69" s="38" t="s">
        <v>183</v>
      </c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</row>
    <row r="70" spans="1:41" ht="15" customHeight="1" x14ac:dyDescent="0.2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</row>
    <row r="71" spans="1:41" s="19" customFormat="1" ht="15" customHeight="1" x14ac:dyDescent="0.2">
      <c r="A71" s="26" t="s">
        <v>149</v>
      </c>
      <c r="B71" s="27"/>
      <c r="C71" s="28" t="s">
        <v>150</v>
      </c>
      <c r="D71" s="28"/>
      <c r="E71" s="28"/>
      <c r="F71" s="28"/>
      <c r="G71" s="28"/>
      <c r="H71" s="28"/>
      <c r="I71" s="28" t="s">
        <v>151</v>
      </c>
      <c r="J71" s="29"/>
      <c r="K71" s="29"/>
      <c r="L71" s="29"/>
      <c r="M71" s="30" t="s">
        <v>152</v>
      </c>
      <c r="N71" s="30"/>
      <c r="O71" s="31"/>
      <c r="P71" s="32" t="s">
        <v>153</v>
      </c>
      <c r="Q71" s="32"/>
      <c r="R71" s="33" t="s">
        <v>154</v>
      </c>
      <c r="S71" s="33"/>
      <c r="T71" s="25" t="s">
        <v>155</v>
      </c>
      <c r="U71" s="25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</row>
    <row r="72" spans="1:41" ht="1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 ht="15" customHeight="1" x14ac:dyDescent="0.2"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1:41" ht="19.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spans="1:41" ht="19.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spans="1:41" ht="19.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spans="1:41" ht="19.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spans="1:41" ht="19.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 spans="1:41" ht="19.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 spans="1:41" ht="19.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spans="1:41" ht="19.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 spans="1:41" ht="19.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 spans="1:41" ht="19.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</row>
  </sheetData>
  <mergeCells count="19">
    <mergeCell ref="A68:U68"/>
    <mergeCell ref="A7:F7"/>
    <mergeCell ref="H7:M7"/>
    <mergeCell ref="R7:U7"/>
    <mergeCell ref="A69:U69"/>
    <mergeCell ref="R71:S71"/>
    <mergeCell ref="T71:U71"/>
    <mergeCell ref="O7:Q7"/>
    <mergeCell ref="A71:B71"/>
    <mergeCell ref="C71:H71"/>
    <mergeCell ref="I71:L71"/>
    <mergeCell ref="M71:O71"/>
    <mergeCell ref="P71:Q71"/>
    <mergeCell ref="A1:U2"/>
    <mergeCell ref="A3:U3"/>
    <mergeCell ref="A4:U4"/>
    <mergeCell ref="A5:U5"/>
    <mergeCell ref="O6:U6"/>
    <mergeCell ref="A6:M6"/>
  </mergeCells>
  <printOptions horizontalCentered="1"/>
  <pageMargins left="0.19685039370078741" right="0.19685039370078741" top="0.39370078740157483" bottom="0.39370078740157483" header="0" footer="0"/>
  <pageSetup paperSize="9" scale="46" fitToHeight="0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8611d9-97ec-4b72-b536-39046913c13e">
      <Terms xmlns="http://schemas.microsoft.com/office/infopath/2007/PartnerControls"/>
    </lcf76f155ced4ddcb4097134ff3c332f>
    <TaxCatchAll xmlns="5b2e1221-979e-4305-8561-548309efb77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11E1422E817648920489FE4D48AFF9" ma:contentTypeVersion="19" ma:contentTypeDescription="Crear nuevo documento." ma:contentTypeScope="" ma:versionID="8ec63c888b10752f2aa6b6713407795c">
  <xsd:schema xmlns:xsd="http://www.w3.org/2001/XMLSchema" xmlns:xs="http://www.w3.org/2001/XMLSchema" xmlns:p="http://schemas.microsoft.com/office/2006/metadata/properties" xmlns:ns2="b68611d9-97ec-4b72-b536-39046913c13e" xmlns:ns3="5b2e1221-979e-4305-8561-548309efb779" targetNamespace="http://schemas.microsoft.com/office/2006/metadata/properties" ma:root="true" ma:fieldsID="e90e4bcb5fcbacadb238447b71fc1498" ns2:_="" ns3:_="">
    <xsd:import namespace="b68611d9-97ec-4b72-b536-39046913c13e"/>
    <xsd:import namespace="5b2e1221-979e-4305-8561-548309efb7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611d9-97ec-4b72-b536-39046913c1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ac068ce-c6ec-420a-a0d3-6bd327a83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2e1221-979e-4305-8561-548309efb77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b78ad14-593f-4745-b37c-c1799c04c5d3}" ma:internalName="TaxCatchAll" ma:showField="CatchAllData" ma:web="5b2e1221-979e-4305-8561-548309efb7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D29668-C75A-4B4D-96BA-75B2C8869B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BAA058-C7F0-45A3-9958-90E90184B301}">
  <ds:schemaRefs>
    <ds:schemaRef ds:uri="http://schemas.microsoft.com/office/2006/metadata/properties"/>
    <ds:schemaRef ds:uri="http://schemas.microsoft.com/office/infopath/2007/PartnerControls"/>
    <ds:schemaRef ds:uri="b68611d9-97ec-4b72-b536-39046913c13e"/>
    <ds:schemaRef ds:uri="5b2e1221-979e-4305-8561-548309efb779"/>
  </ds:schemaRefs>
</ds:datastoreItem>
</file>

<file path=customXml/itemProps3.xml><?xml version="1.0" encoding="utf-8"?>
<ds:datastoreItem xmlns:ds="http://schemas.openxmlformats.org/officeDocument/2006/customXml" ds:itemID="{D065CF20-FBBB-4DFD-BA6E-9BAEEE3E52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611d9-97ec-4b72-b536-39046913c13e"/>
    <ds:schemaRef ds:uri="5b2e1221-979e-4305-8561-548309efb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082-DU</vt:lpstr>
      <vt:lpstr>'082-DU'!Area_de_impressao</vt:lpstr>
      <vt:lpstr>'082-DU'!Titulos_de_impressao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Estefânia Menezes Henrique</dc:creator>
  <cp:lastModifiedBy>f 20159</cp:lastModifiedBy>
  <cp:lastPrinted>2026-03-25T18:14:38Z</cp:lastPrinted>
  <dcterms:created xsi:type="dcterms:W3CDTF">2024-10-28T16:23:47Z</dcterms:created>
  <dcterms:modified xsi:type="dcterms:W3CDTF">2026-08-20T17:37:20Z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0x0101006711E1422E817648920489FE4D48AFF9</vt:lpwstr>
  </property>
</Properties>
</file>